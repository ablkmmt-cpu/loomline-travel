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87cfc81e71d46f9" /></Relationships>
</file>

<file path=xl/workbook.xml><?xml version="1.0" encoding="utf-8"?>
<x:workbook xmlns:x="http://schemas.openxmlformats.org/spreadsheetml/2006/main">
  <x:sheets>
    <x:sheet xmlns:r="http://schemas.openxmlformats.org/officeDocument/2006/relationships" name="审核总览" sheetId="1" r:id="Rd64f32b788664cb6"/>
    <x:sheet xmlns:r="http://schemas.openxmlformats.org/officeDocument/2006/relationships" name="样板初审" sheetId="2" r:id="Rd02d702b72b641bb"/>
    <x:sheet xmlns:r="http://schemas.openxmlformats.org/officeDocument/2006/relationships" name="可复用线路模块" sheetId="3" r:id="R3c072a2eb84c4e7b"/>
    <x:sheet xmlns:r="http://schemas.openxmlformats.org/officeDocument/2006/relationships" name="地点候选库" sheetId="4" r:id="R20c6c8323f194003"/>
    <x:sheet xmlns:r="http://schemas.openxmlformats.org/officeDocument/2006/relationships" name="待核验交通段" sheetId="5" r:id="Rcc4755ca3cca49c6"/>
    <x:sheet xmlns:r="http://schemas.openxmlformats.org/officeDocument/2006/relationships" name="生成规则" sheetId="6" r:id="Reb535d65451346e0"/>
    <x:sheet xmlns:r="http://schemas.openxmlformats.org/officeDocument/2006/relationships" name="来源索引" sheetId="7" r:id="Re709485cf85c45dc"/>
  </x:sheets>
</x:workbook>
</file>

<file path=xl/sharedStrings.xml><?xml version="1.0" encoding="utf-8"?>
<x:sst xmlns:x="http://schemas.openxmlformats.org/spreadsheetml/2006/main"/>
</file>

<file path=xl/styles.xml><?xml version="1.0" encoding="utf-8"?>
<x:styleSheet xmlns:x="http://schemas.openxmlformats.org/spreadsheetml/2006/main">
  <x:fonts count="9">
    <x:font>
      <x:sz val="11"/>
      <x:name val="Carlito"/>
    </x:font>
    <x:font>
      <x:b/>
      <x:sz val="18"/>
      <x:color rgb="FFFFFFFF"/>
      <x:name val="Carlito"/>
    </x:font>
    <x:font>
      <x:sz val="10"/>
      <x:color rgb="FF1F2933"/>
      <x:name val="Carlito"/>
    </x:font>
    <x:font>
      <x:b/>
      <x:sz val="11"/>
      <x:color rgb="FFFFFFFF"/>
      <x:name val="Carlito"/>
    </x:font>
    <x:font>
      <x:sz val="11"/>
      <x:color rgb="FF1F2933"/>
      <x:name val="Carlito"/>
    </x:font>
    <x:font>
      <x:b/>
      <x:sz val="12"/>
      <x:color rgb="FFFFFFFF"/>
      <x:name val="Carlito"/>
    </x:font>
    <x:font>
      <x:b/>
      <x:sz val="10"/>
      <x:color rgb="FF102A43"/>
      <x:name val="Carlito"/>
    </x:font>
    <x:font>
      <x:b/>
      <x:sz val="10"/>
      <x:color rgb="FFFFFFFF"/>
      <x:name val="Carlito"/>
    </x:font>
    <x:font>
      <x:sz val="9"/>
      <x:color rgb="FF1F2933"/>
      <x:name val="Carlito"/>
    </x:font>
  </x:fonts>
  <x:fills count="11">
    <x:fill>
      <x:patternFill patternType="none"/>
    </x:fill>
    <x:fill>
      <x:patternFill patternType="gray125"/>
    </x:fill>
    <x:fill>
      <x:patternFill patternType="solid">
        <x:fgColor rgb="FF102A43"/>
      </x:patternFill>
    </x:fill>
    <x:fill>
      <x:patternFill patternType="solid">
        <x:fgColor rgb="FFF7F3EA"/>
      </x:patternFill>
    </x:fill>
    <x:fill>
      <x:patternFill patternType="solid">
        <x:fgColor rgb="FFB58A3B"/>
      </x:patternFill>
    </x:fill>
    <x:fill>
      <x:patternFill patternType="solid">
        <x:fgColor rgb="FFFFFFFF"/>
      </x:patternFill>
    </x:fill>
    <x:fill>
      <x:patternFill patternType="solid">
        <x:fgColor rgb="FFEEF2F5"/>
      </x:patternFill>
    </x:fill>
    <x:fill>
      <x:patternFill patternType="solid">
        <x:fgColor rgb="FFF8E8BF"/>
      </x:patternFill>
    </x:fill>
    <x:fill>
      <x:patternFill patternType="solid">
        <x:fgColor rgb="FFDDEFE4"/>
      </x:patternFill>
    </x:fill>
    <x:fill>
      <x:patternFill patternType="solid">
        <x:fgColor rgb="FFE5E7EB"/>
      </x:patternFill>
    </x:fill>
    <x:fill>
      <x:patternFill patternType="solid">
        <x:fgColor rgb="FFF6D4D0"/>
      </x:patternFill>
    </x:fill>
  </x:fills>
  <x:borders count="15">
    <x:border/>
    <x:border>
      <x:bottom style="thin">
        <x:color rgb="FFDDE3E8"/>
      </x:bottom>
    </x:border>
    <x:border>
      <x:top style="thin">
        <x:color rgb="FFDDE3E8"/>
      </x:top>
      <x:bottom style="thin">
        <x:color rgb="FFDDE3E8"/>
      </x:bottom>
    </x:border>
    <x:border>
      <x:top style="thin">
        <x:color rgb="FFDDE3E8"/>
      </x:top>
    </x:border>
    <x:border>
      <x:left style="thin">
        <x:color rgb="FFCBD5E1"/>
      </x:left>
      <x:top style="thin">
        <x:color rgb="FFCBD5E1"/>
      </x:top>
    </x:border>
    <x:border>
      <x:top style="thin">
        <x:color rgb="FFCBD5E1"/>
      </x:top>
    </x:border>
    <x:border>
      <x:right style="thin">
        <x:color rgb="FFCBD5E1"/>
      </x:right>
      <x:top style="thin">
        <x:color rgb="FFCBD5E1"/>
      </x:top>
    </x:border>
    <x:border>
      <x:left style="thin">
        <x:color rgb="FFCBD5E1"/>
      </x:left>
    </x:border>
    <x:border>
      <x:right style="thin">
        <x:color rgb="FFCBD5E1"/>
      </x:right>
    </x:border>
    <x:border>
      <x:left style="thin">
        <x:color rgb="FFCBD5E1"/>
      </x:left>
      <x:bottom style="thin">
        <x:color rgb="FFCBD5E1"/>
      </x:bottom>
    </x:border>
    <x:border>
      <x:bottom style="thin">
        <x:color rgb="FFCBD5E1"/>
      </x:bottom>
    </x:border>
    <x:border>
      <x:right style="thin">
        <x:color rgb="FFCBD5E1"/>
      </x:right>
      <x:bottom style="thin">
        <x:color rgb="FFCBD5E1"/>
      </x:bottom>
    </x:border>
    <x:border>
      <x:right style="thin">
        <x:color rgb="FFD8C59A"/>
      </x:right>
    </x:border>
    <x:border>
      <x:left style="thin">
        <x:color rgb="FFD8C59A"/>
      </x:left>
      <x:right style="thin">
        <x:color rgb="FFD8C59A"/>
      </x:right>
    </x:border>
    <x:border>
      <x:left style="thin">
        <x:color rgb="FFD8C59A"/>
      </x:left>
    </x:border>
  </x:borders>
  <x:cellStyleXfs count="1">
    <x:xf numFmtId="0" fontId="0" fillId="0" borderId="0"/>
  </x:cellStyleXfs>
  <x:cellXfs count="7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0" fillId="5" borderId="0" xfId="0" applyNumberFormat="1" applyFont="1" applyFill="1" applyBorder="1"/>
    <x:xf numFmtId="0" fontId="4" fillId="5" borderId="0" xfId="0" applyNumberFormat="1" applyFont="1" applyFill="1" applyBorder="1"/>
    <x:xf numFmtId="0" fontId="4" fillId="5" borderId="1" xfId="0" applyNumberFormat="1" applyFont="1" applyFill="1" applyBorder="1"/>
    <x:xf numFmtId="0" fontId="4" fillId="5" borderId="2" xfId="0" applyNumberFormat="1" applyFont="1" applyFill="1" applyBorder="1"/>
    <x:xf numFmtId="0" fontId="4" fillId="5" borderId="3" xfId="0" applyNumberFormat="1" applyFont="1" applyFill="1" applyBorder="1"/>
    <x:xf numFmtId="0" fontId="5" fillId="2" borderId="0" xfId="0" applyNumberFormat="1" applyFont="1" applyFill="1" applyBorder="1"/>
    <x:xf numFmtId="0" fontId="0" fillId="6" borderId="0" xfId="0" applyNumberFormat="1" applyFont="1" applyFill="1" applyBorder="1"/>
    <x:xf numFmtId="0" fontId="4" fillId="6" borderId="0" xfId="0" applyNumberFormat="1" applyFont="1" applyFill="1" applyBorder="1"/>
    <x:xf numFmtId="0" fontId="4" fillId="6" borderId="4" xfId="0" applyNumberFormat="1" applyFont="1" applyFill="1" applyBorder="1"/>
    <x:xf numFmtId="0" fontId="4" fillId="6" borderId="5" xfId="0" applyNumberFormat="1" applyFont="1" applyFill="1" applyBorder="1"/>
    <x:xf numFmtId="0" fontId="4" fillId="6" borderId="6" xfId="0" applyNumberFormat="1" applyFont="1" applyFill="1" applyBorder="1"/>
    <x:xf numFmtId="0" fontId="4" fillId="6" borderId="7" xfId="0" applyNumberFormat="1" applyFont="1" applyFill="1" applyBorder="1"/>
    <x:xf numFmtId="0" fontId="4" fillId="6" borderId="8" xfId="0" applyNumberFormat="1" applyFont="1" applyFill="1" applyBorder="1"/>
    <x:xf numFmtId="0" fontId="4" fillId="6" borderId="9" xfId="0" applyNumberFormat="1" applyFont="1" applyFill="1" applyBorder="1"/>
    <x:xf numFmtId="0" fontId="4" fillId="6" borderId="10" xfId="0" applyNumberFormat="1" applyFont="1" applyFill="1" applyBorder="1"/>
    <x:xf numFmtId="0" fontId="4" fillId="6" borderId="11" xfId="0" applyNumberFormat="1" applyFont="1" applyFill="1" applyBorder="1"/>
    <x:xf numFmtId="0" fontId="4" fillId="6" borderId="4" xfId="0" applyNumberFormat="1" applyFont="1" applyFill="1" applyBorder="1" applyAlignment="1">
      <x:alignment wrapText="1"/>
    </x:xf>
    <x:xf numFmtId="0" fontId="4" fillId="6" borderId="5" xfId="0" applyNumberFormat="1" applyFont="1" applyFill="1" applyBorder="1" applyAlignment="1">
      <x:alignment wrapText="1"/>
    </x:xf>
    <x:xf numFmtId="0" fontId="4" fillId="6" borderId="6" xfId="0" applyNumberFormat="1" applyFont="1" applyFill="1" applyBorder="1" applyAlignment="1">
      <x:alignment wrapText="1"/>
    </x:xf>
    <x:xf numFmtId="0" fontId="4" fillId="6" borderId="7" xfId="0" applyNumberFormat="1" applyFont="1" applyFill="1" applyBorder="1" applyAlignment="1">
      <x:alignment wrapText="1"/>
    </x:xf>
    <x:xf numFmtId="0" fontId="4" fillId="6" borderId="0" xfId="0" applyNumberFormat="1" applyFont="1" applyFill="1" applyBorder="1" applyAlignment="1">
      <x:alignment wrapText="1"/>
    </x:xf>
    <x:xf numFmtId="0" fontId="4" fillId="6" borderId="8" xfId="0" applyNumberFormat="1" applyFont="1" applyFill="1" applyBorder="1" applyAlignment="1">
      <x:alignment wrapText="1"/>
    </x:xf>
    <x:xf numFmtId="0" fontId="4" fillId="6" borderId="9" xfId="0" applyNumberFormat="1" applyFont="1" applyFill="1" applyBorder="1" applyAlignment="1">
      <x:alignment wrapText="1"/>
    </x:xf>
    <x:xf numFmtId="0" fontId="4" fillId="6" borderId="10" xfId="0" applyNumberFormat="1" applyFont="1" applyFill="1" applyBorder="1" applyAlignment="1">
      <x:alignment wrapText="1"/>
    </x:xf>
    <x:xf numFmtId="0" fontId="4" fillId="6" borderId="11" xfId="0" applyNumberFormat="1" applyFont="1" applyFill="1" applyBorder="1" applyAlignment="1">
      <x:alignment wrapText="1"/>
    </x:xf>
    <x:xf numFmtId="0" fontId="4" fillId="6" borderId="4" xfId="0" applyNumberFormat="1" applyFont="1" applyFill="1" applyBorder="1" applyAlignment="1">
      <x:alignment vertical="center" wrapText="1"/>
    </x:xf>
    <x:xf numFmtId="0" fontId="4" fillId="6" borderId="5" xfId="0" applyNumberFormat="1" applyFont="1" applyFill="1" applyBorder="1" applyAlignment="1">
      <x:alignment vertical="center" wrapText="1"/>
    </x:xf>
    <x:xf numFmtId="0" fontId="4" fillId="6" borderId="6" xfId="0" applyNumberFormat="1" applyFont="1" applyFill="1" applyBorder="1" applyAlignment="1">
      <x:alignment vertical="center" wrapText="1"/>
    </x:xf>
    <x:xf numFmtId="0" fontId="4" fillId="6" borderId="7" xfId="0" applyNumberFormat="1" applyFont="1" applyFill="1" applyBorder="1" applyAlignment="1">
      <x:alignment vertical="center" wrapText="1"/>
    </x:xf>
    <x:xf numFmtId="0" fontId="4" fillId="6" borderId="0" xfId="0" applyNumberFormat="1" applyFont="1" applyFill="1" applyBorder="1" applyAlignment="1">
      <x:alignment vertical="center" wrapText="1"/>
    </x:xf>
    <x:xf numFmtId="0" fontId="4" fillId="6" borderId="8" xfId="0" applyNumberFormat="1" applyFont="1" applyFill="1" applyBorder="1" applyAlignment="1">
      <x:alignment vertical="center" wrapText="1"/>
    </x:xf>
    <x:xf numFmtId="0" fontId="4" fillId="6" borderId="9" xfId="0" applyNumberFormat="1" applyFont="1" applyFill="1" applyBorder="1" applyAlignment="1">
      <x:alignment vertical="center" wrapText="1"/>
    </x:xf>
    <x:xf numFmtId="0" fontId="4" fillId="6" borderId="10" xfId="0" applyNumberFormat="1" applyFont="1" applyFill="1" applyBorder="1" applyAlignment="1">
      <x:alignment vertical="center" wrapText="1"/>
    </x:xf>
    <x:xf numFmtId="0" fontId="4" fillId="6" borderId="11" xfId="0" applyNumberFormat="1" applyFont="1" applyFill="1" applyBorder="1" applyAlignment="1">
      <x:alignment vertical="center" wrapText="1"/>
    </x:xf>
    <x:xf numFmtId="0" fontId="6" fillId="3" borderId="0" xfId="0" applyNumberFormat="1" applyFont="1" applyFill="1" applyBorder="1"/>
    <x:xf numFmtId="0" fontId="6" fillId="3" borderId="0" xfId="0" applyNumberFormat="1" applyFont="1" applyFill="1" applyBorder="1" applyAlignment="1">
      <x:alignment wrapText="1"/>
    </x:xf>
    <x:xf numFmtId="0" fontId="7" fillId="4" borderId="0" xfId="0" applyNumberFormat="1" applyFont="1" applyFill="1" applyBorder="1"/>
    <x:xf numFmtId="0" fontId="7" fillId="4" borderId="12" xfId="0" applyNumberFormat="1" applyFont="1" applyFill="1" applyBorder="1"/>
    <x:xf numFmtId="0" fontId="7" fillId="4" borderId="13" xfId="0" applyNumberFormat="1" applyFont="1" applyFill="1" applyBorder="1"/>
    <x:xf numFmtId="0" fontId="7" fillId="4" borderId="14" xfId="0" applyNumberFormat="1" applyFont="1" applyFill="1" applyBorder="1"/>
    <x:xf numFmtId="0" fontId="7" fillId="4" borderId="12" xfId="0" applyNumberFormat="1" applyFont="1" applyFill="1" applyBorder="1" applyAlignment="1">
      <x:alignment wrapText="1"/>
    </x:xf>
    <x:xf numFmtId="0" fontId="7" fillId="4" borderId="13" xfId="0" applyNumberFormat="1" applyFont="1" applyFill="1" applyBorder="1" applyAlignment="1">
      <x:alignment wrapText="1"/>
    </x:xf>
    <x:xf numFmtId="0" fontId="7" fillId="4" borderId="14" xfId="0" applyNumberFormat="1" applyFont="1" applyFill="1" applyBorder="1" applyAlignment="1">
      <x:alignment wrapText="1"/>
    </x:xf>
    <x:xf numFmtId="0" fontId="7" fillId="4" borderId="12" xfId="0" applyNumberFormat="1" applyFont="1" applyFill="1" applyBorder="1" applyAlignment="1">
      <x:alignment vertical="center" wrapText="1"/>
    </x:xf>
    <x:xf numFmtId="0" fontId="7" fillId="4" borderId="13" xfId="0" applyNumberFormat="1" applyFont="1" applyFill="1" applyBorder="1" applyAlignment="1">
      <x:alignment vertical="center" wrapText="1"/>
    </x:xf>
    <x:xf numFmtId="0" fontId="7" fillId="4" borderId="14" xfId="0" applyNumberFormat="1" applyFont="1" applyFill="1" applyBorder="1" applyAlignment="1">
      <x:alignment vertical="center" wrapText="1"/>
    </x:xf>
    <x:xf numFmtId="0" fontId="8" fillId="0" borderId="0" xfId="0" applyNumberFormat="1" applyFont="1" applyFill="1" applyBorder="1"/>
    <x:xf numFmtId="0" fontId="8" fillId="0" borderId="1" xfId="0" applyNumberFormat="1" applyFont="1" applyFill="1" applyBorder="1"/>
    <x:xf numFmtId="0" fontId="8" fillId="0" borderId="2" xfId="0" applyNumberFormat="1" applyFont="1" applyFill="1" applyBorder="1"/>
    <x:xf numFmtId="0" fontId="8" fillId="0" borderId="3" xfId="0" applyNumberFormat="1" applyFont="1" applyFill="1" applyBorder="1"/>
    <x:xf numFmtId="0" fontId="8" fillId="0" borderId="1" xfId="0" applyNumberFormat="1" applyFont="1" applyFill="1" applyBorder="1" applyAlignment="1">
      <x:alignment wrapText="1"/>
    </x:xf>
    <x:xf numFmtId="0" fontId="8" fillId="0" borderId="2" xfId="0" applyNumberFormat="1" applyFont="1" applyFill="1" applyBorder="1" applyAlignment="1">
      <x:alignment wrapText="1"/>
    </x:xf>
    <x:xf numFmtId="0" fontId="8" fillId="0" borderId="3" xfId="0" applyNumberFormat="1" applyFont="1" applyFill="1" applyBorder="1" applyAlignment="1">
      <x:alignment wrapText="1"/>
    </x:xf>
    <x:xf numFmtId="0" fontId="8" fillId="0" borderId="1" xfId="0" applyNumberFormat="1" applyFont="1" applyFill="1" applyBorder="1" applyAlignment="1">
      <x:alignment vertical="top" wrapText="1"/>
    </x:xf>
    <x:xf numFmtId="0" fontId="8" fillId="0" borderId="2" xfId="0" applyNumberFormat="1" applyFont="1" applyFill="1" applyBorder="1" applyAlignment="1">
      <x:alignment vertical="top" wrapText="1"/>
    </x:xf>
    <x:xf numFmtId="0" fontId="8" fillId="0" borderId="3" xfId="0" applyNumberFormat="1" applyFont="1" applyFill="1" applyBorder="1" applyAlignment="1">
      <x:alignment vertical="top" wrapText="1"/>
    </x:xf>
    <x:xf numFmtId="0" fontId="8" fillId="7" borderId="1" xfId="0" applyNumberFormat="1" applyFont="1" applyFill="1" applyBorder="1" applyAlignment="1">
      <x:alignment vertical="top" wrapText="1"/>
    </x:xf>
    <x:xf numFmtId="0" fontId="8" fillId="7" borderId="2" xfId="0" applyNumberFormat="1" applyFont="1" applyFill="1" applyBorder="1" applyAlignment="1">
      <x:alignment vertical="top" wrapText="1"/>
    </x:xf>
    <x:xf numFmtId="0" fontId="8" fillId="8" borderId="2" xfId="0" applyNumberFormat="1" applyFont="1" applyFill="1" applyBorder="1" applyAlignment="1">
      <x:alignment vertical="top" wrapText="1"/>
    </x:xf>
    <x:xf numFmtId="0" fontId="8" fillId="9" borderId="2" xfId="0" applyNumberFormat="1" applyFont="1" applyFill="1" applyBorder="1" applyAlignment="1">
      <x:alignment vertical="top" wrapText="1"/>
    </x:xf>
    <x:xf numFmtId="0" fontId="8" fillId="10" borderId="2" xfId="0" applyNumberFormat="1" applyFont="1" applyFill="1" applyBorder="1" applyAlignment="1">
      <x:alignment vertical="top" wrapText="1"/>
    </x:xf>
    <x:xf numFmtId="0" fontId="8" fillId="7" borderId="3"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8250d3070f341bc" /><Relationship Type="http://schemas.openxmlformats.org/officeDocument/2006/relationships/theme" Target="/xl/theme/theme1.xml" Id="Ra47ab19e89904e15" /><Relationship Type="http://schemas.openxmlformats.org/officeDocument/2006/relationships/sharedStrings" Target="/xl/sharedStrings.xml" Id="Rc83aeb4e5b624557" /><Relationship Type="http://schemas.openxmlformats.org/officeDocument/2006/relationships/worksheet" Target="/xl/worksheets/sheet1.xml" Id="Rd64f32b788664cb6" /><Relationship Type="http://schemas.openxmlformats.org/officeDocument/2006/relationships/worksheet" Target="/xl/worksheets/sheet2.xml" Id="Rd02d702b72b641bb" /><Relationship Type="http://schemas.openxmlformats.org/officeDocument/2006/relationships/worksheet" Target="/xl/worksheets/sheet3.xml" Id="R3c072a2eb84c4e7b" /><Relationship Type="http://schemas.openxmlformats.org/officeDocument/2006/relationships/worksheet" Target="/xl/worksheets/sheet4.xml" Id="R20c6c8323f194003" /><Relationship Type="http://schemas.openxmlformats.org/officeDocument/2006/relationships/worksheet" Target="/xl/worksheets/sheet5.xml" Id="Rcc4755ca3cca49c6" /><Relationship Type="http://schemas.openxmlformats.org/officeDocument/2006/relationships/worksheet" Target="/xl/worksheets/sheet6.xml" Id="Reb535d65451346e0" /><Relationship Type="http://schemas.openxmlformats.org/officeDocument/2006/relationships/worksheet" Target="/xl/worksheets/sheet7.xml" Id="Re709485cf85c45dc"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15" hidden="0" customWidth="1"/>
    <x:col min="3" max="3" width="15" hidden="0" customWidth="1"/>
    <x:col min="4" max="4" width="24" hidden="0" customWidth="1"/>
    <x:col min="5" max="5" width="15" hidden="0" customWidth="1"/>
    <x:col min="6" max="6" width="15" hidden="0" customWidth="1"/>
    <x:col min="7" max="7" width="15" hidden="0" customWidth="1"/>
    <x:col min="8" max="8" width="15" hidden="0" customWidth="1"/>
  </x:cols>
  <x:sheetData>
    <x:row r="1" ht="32" customHeight="1">
      <x:c r="A1" s="3" t="str">
        <x:v>四川样板行程初审总览</x:v>
      </x:c>
      <x:c r="B1" s="3"/>
      <x:c r="C1" s="3"/>
      <x:c r="D1" s="3"/>
      <x:c r="E1" s="3"/>
      <x:c r="F1" s="3"/>
      <x:c r="G1" s="3"/>
      <x:c r="H1" s="3"/>
    </x:row>
    <x:row r="2" ht="34" customHeight="1">
      <x:c r="A2" s="7" t="str">
        <x:v>用途：先筛选可信线路与可复用模块，再由你人工确认；本表不是正式行程库，也不代表价格已核准。</x:v>
      </x:c>
      <x:c r="B2" s="7"/>
      <x:c r="C2" s="7"/>
      <x:c r="D2" s="7"/>
      <x:c r="E2" s="7"/>
      <x:c r="F2" s="7"/>
      <x:c r="G2" s="7"/>
      <x:c r="H2" s="7"/>
    </x:row>
    <x:row r="4">
      <x:c r="A4" s="9" t="str">
        <x:v>指标</x:v>
      </x:c>
      <x:c r="B4" s="9" t="str">
        <x:v>数量</x:v>
      </x:c>
      <x:c r="D4" s="9" t="str">
        <x:v>边界</x:v>
      </x:c>
      <x:c r="E4" s="9" t="str">
        <x:v>数量</x:v>
      </x:c>
    </x:row>
    <x:row r="5">
      <x:c r="A5" s="12" t="str">
        <x:v>样板总数</x:v>
      </x:c>
      <x:c r="B5" s="12" t="n">
        <x:f>COUNTA('样板初审'!$B$5:$B$25)</x:f>
        <x:v>21</x:v>
      </x:c>
      <x:c r="D5" s="12" t="str">
        <x:v>超出一期归档</x:v>
      </x:c>
      <x:c r="E5" s="12" t="n">
        <x:f>COUNTIF('样板初审'!$F$5:$F$25,"归档")</x:f>
        <x:v>4</x:v>
      </x:c>
    </x:row>
    <x:row r="6">
      <x:c r="A6" s="13" t="str">
        <x:v>推荐基准（A）</x:v>
      </x:c>
      <x:c r="B6" s="13" t="n">
        <x:f>COUNTIF('样板初审'!$F$5:$F$25,"A")</x:f>
        <x:v>4</x:v>
      </x:c>
      <x:c r="D6" s="13" t="str">
        <x:v>可复用线路模块</x:v>
      </x:c>
      <x:c r="E6" s="13" t="n">
        <x:v>14</x:v>
      </x:c>
    </x:row>
    <x:row r="7">
      <x:c r="A7" s="13" t="str">
        <x:v>条件/模块基准（B）</x:v>
      </x:c>
      <x:c r="B7" s="13" t="n">
        <x:f>COUNTIF('样板初审'!$F$5:$F$25,"B")</x:f>
        <x:v>5</x:v>
      </x:c>
      <x:c r="D7" s="13" t="str">
        <x:v>地点候选</x:v>
      </x:c>
      <x:c r="E7" s="13" t="n">
        <x:v>24</x:v>
      </x:c>
    </x:row>
    <x:row r="8">
      <x:c r="A8" s="14" t="str">
        <x:v>反例或局部参考（C）</x:v>
      </x:c>
      <x:c r="B8" s="14" t="n">
        <x:f>COUNTIF('样板初审'!$F$5:$F$25,"C")</x:f>
        <x:v>8</x:v>
      </x:c>
      <x:c r="D8" s="14" t="str">
        <x:v>待实时核验交通段</x:v>
      </x:c>
      <x:c r="E8" s="14" t="n">
        <x:v>16</x:v>
      </x:c>
    </x:row>
    <x:row r="10">
      <x:c r="A10" s="15" t="str">
        <x:v>初审结论</x:v>
      </x:c>
      <x:c r="B10" s="15"/>
      <x:c r="C10" s="15"/>
      <x:c r="D10" s="15"/>
      <x:c r="E10" s="15"/>
      <x:c r="F10" s="15"/>
      <x:c r="G10" s="15"/>
      <x:c r="H10" s="15"/>
    </x:row>
    <x:row r="11">
      <x:c r="A11" s="35" t="str">
        <x:v>本批21份资料可形成4份推荐基准、5份条件/模块基准、8份反例或局部参考，另有4份川渝跨省线路归档。建议先以成都文化线、清真友好九寨线、都江堰—四姑娘山—毕棚沟、卧龙—四姑娘山—毕棚沟为第一批人工校准对象。所有公里数、车程、高铁时刻、道路开放与供应商价格仍需独立核验，不能从PDF直接写入正式报价。</x:v>
      </x:c>
      <x:c r="B11" s="36"/>
      <x:c r="C11" s="36"/>
      <x:c r="D11" s="36"/>
      <x:c r="E11" s="36"/>
      <x:c r="F11" s="36"/>
      <x:c r="G11" s="36"/>
      <x:c r="H11" s="37"/>
    </x:row>
    <x:row r="12">
      <x:c r="A12" s="38"/>
      <x:c r="B12" s="39"/>
      <x:c r="C12" s="39"/>
      <x:c r="D12" s="39"/>
      <x:c r="E12" s="39"/>
      <x:c r="F12" s="39"/>
      <x:c r="G12" s="39"/>
      <x:c r="H12" s="40"/>
    </x:row>
    <x:row r="13">
      <x:c r="A13" s="38"/>
      <x:c r="B13" s="39"/>
      <x:c r="C13" s="39"/>
      <x:c r="D13" s="39"/>
      <x:c r="E13" s="39"/>
      <x:c r="F13" s="39"/>
      <x:c r="G13" s="39"/>
      <x:c r="H13" s="40"/>
    </x:row>
    <x:row r="14">
      <x:c r="A14" s="41"/>
      <x:c r="B14" s="42"/>
      <x:c r="C14" s="42"/>
      <x:c r="D14" s="42"/>
      <x:c r="E14" s="42"/>
      <x:c r="F14" s="42"/>
      <x:c r="G14" s="42"/>
      <x:c r="H14" s="43"/>
    </x:row>
    <x:row r="16">
      <x:c r="A16" s="45" t="str">
        <x:v>建议下一步：你在“样板初审”中确认评级与处理建议 → 我们核验A级线路的交通时间 → 再写入Google Sheets正式知识库。</x:v>
      </x:c>
      <x:c r="B16" s="45"/>
      <x:c r="C16" s="45"/>
      <x:c r="D16" s="45"/>
      <x:c r="E16" s="45"/>
      <x:c r="F16" s="45"/>
      <x:c r="G16" s="45"/>
      <x:c r="H16" s="45"/>
    </x:row>
  </x:sheetData>
  <x:mergeCells>
    <x:mergeCell ref="A1:H1"/>
    <x:mergeCell ref="A2:H2"/>
    <x:mergeCell ref="A10:H10"/>
    <x:mergeCell ref="A11:H14"/>
    <x:mergeCell ref="A16:H16"/>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6" hidden="0" customWidth="1"/>
    <x:col min="2" max="2" width="34" hidden="0" customWidth="1"/>
    <x:col min="3" max="3" width="10" hidden="0" customWidth="1"/>
    <x:col min="4" max="4" width="9" hidden="0" customWidth="1"/>
    <x:col min="5" max="5" width="18" hidden="0" customWidth="1"/>
    <x:col min="6" max="6" width="8" hidden="0" customWidth="1"/>
    <x:col min="7" max="7" width="16" hidden="0" customWidth="1"/>
    <x:col min="8" max="8" width="10" hidden="0" customWidth="1"/>
    <x:col min="9" max="9" width="11" hidden="0" customWidth="1"/>
    <x:col min="10" max="10" width="10" hidden="0" customWidth="1"/>
    <x:col min="11" max="11" width="10" hidden="0" customWidth="1"/>
    <x:col min="12" max="12" width="10" hidden="0" customWidth="1"/>
    <x:col min="13" max="13" width="10" hidden="0" customWidth="1"/>
    <x:col min="14" max="14" width="36" hidden="0" customWidth="1"/>
    <x:col min="15" max="15" width="40" hidden="0" customWidth="1"/>
    <x:col min="16" max="16" width="34" hidden="0" customWidth="1"/>
    <x:col min="17" max="17" width="30" hidden="0" customWidth="1"/>
    <x:col min="18" max="18" width="48" hidden="0" customWidth="1"/>
  </x:cols>
  <x:sheetData>
    <x:row r="1" ht="32" hidden="0" customHeight="1">
      <x:c r="A1" s="3" t="str">
        <x:v>样板行程逐份初审</x:v>
      </x:c>
      <x:c r="B1" s="3"/>
      <x:c r="C1" s="3"/>
      <x:c r="D1" s="3"/>
      <x:c r="E1" s="3"/>
      <x:c r="F1" s="3"/>
      <x:c r="G1" s="3"/>
      <x:c r="H1" s="3"/>
      <x:c r="I1" s="3"/>
      <x:c r="J1" s="3"/>
      <x:c r="K1" s="3"/>
      <x:c r="L1" s="3"/>
      <x:c r="M1" s="3"/>
      <x:c r="N1" s="3"/>
      <x:c r="O1" s="3"/>
      <x:c r="P1" s="3"/>
      <x:c r="Q1" s="3"/>
      <x:c r="R1" s="3"/>
    </x:row>
    <x:row r="2" ht="34" hidden="0" customHeight="1">
      <x:c r="A2" s="7" t="str">
        <x:v>评分范围1-5；综合分由五项评分平均后换算为100分。评级是是否适合学习，不等于产品能直接销售。</x:v>
      </x:c>
      <x:c r="B2" s="7"/>
      <x:c r="C2" s="7"/>
      <x:c r="D2" s="7"/>
      <x:c r="E2" s="7"/>
      <x:c r="F2" s="7"/>
      <x:c r="G2" s="7"/>
      <x:c r="H2" s="7"/>
      <x:c r="I2" s="7"/>
      <x:c r="J2" s="7"/>
      <x:c r="K2" s="7"/>
      <x:c r="L2" s="7"/>
      <x:c r="M2" s="7"/>
      <x:c r="N2" s="7"/>
      <x:c r="O2" s="7"/>
      <x:c r="P2" s="7"/>
      <x:c r="Q2" s="7"/>
      <x:c r="R2" s="7"/>
    </x:row>
    <x:row r="3"/>
    <x:row r="4" ht="34" hidden="0" customHeight="1">
      <x:c r="A4" s="53" t="str">
        <x:v>ID</x:v>
      </x:c>
      <x:c r="B4" s="54" t="str">
        <x:v>来源文件</x:v>
      </x:c>
      <x:c r="C4" s="54" t="str">
        <x:v>范围</x:v>
      </x:c>
      <x:c r="D4" s="54" t="str">
        <x:v>时长</x:v>
      </x:c>
      <x:c r="E4" s="54" t="str">
        <x:v>产品类型</x:v>
      </x:c>
      <x:c r="F4" s="54" t="str">
        <x:v>评级</x:v>
      </x:c>
      <x:c r="G4" s="54" t="str">
        <x:v>入库定位</x:v>
      </x:c>
      <x:c r="H4" s="54" t="str">
        <x:v>路线逻辑</x:v>
      </x:c>
      <x:c r="I4" s="54" t="str">
        <x:v>时间可执行</x:v>
      </x:c>
      <x:c r="J4" s="54" t="str">
        <x:v>住宿连续</x:v>
      </x:c>
      <x:c r="K4" s="54" t="str">
        <x:v>客群适配</x:v>
      </x:c>
      <x:c r="L4" s="54" t="str">
        <x:v>来源可靠</x:v>
      </x:c>
      <x:c r="M4" s="54" t="str">
        <x:v>综合分</x:v>
      </x:c>
      <x:c r="N4" s="54" t="str">
        <x:v>可学习内容</x:v>
      </x:c>
      <x:c r="O4" s="54" t="str">
        <x:v>主要风险</x:v>
      </x:c>
      <x:c r="P4" s="54" t="str">
        <x:v>建议处理</x:v>
      </x:c>
      <x:c r="Q4" s="54" t="str">
        <x:v>初审备注</x:v>
      </x:c>
      <x:c r="R4" s="55" t="str">
        <x:v>源文件路径</x:v>
      </x:c>
    </x:row>
    <x:row r="5" ht="21.600000381469727" hidden="0" customHeight="1">
      <x:c r="A5" s="63" t="n">
        <x:v>1</x:v>
      </x:c>
      <x:c r="B5" s="63" t="str">
        <x:v>九寨黄龙熊猫基地三星堆川剧表演6D5N.pdf</x:v>
      </x:c>
      <x:c r="C5" s="63" t="str">
        <x:v>四川</x:v>
      </x:c>
      <x:c r="D5" s="63" t="str">
        <x:v>6D5N</x:v>
      </x:c>
      <x:c r="E5" s="63" t="str">
        <x:v>私家团/综合线</x:v>
      </x:c>
      <x:c r="F5" s="66" t="str">
        <x:v>B</x:v>
      </x:c>
      <x:c r="G5" s="66" t="str">
        <x:v>条件基准</x:v>
      </x:c>
      <x:c r="H5" s="63" t="n">
        <x:v>4</x:v>
      </x:c>
      <x:c r="I5" s="63" t="n">
        <x:v>4</x:v>
      </x:c>
      <x:c r="J5" s="63" t="n">
        <x:v>4</x:v>
      </x:c>
      <x:c r="K5" s="63" t="n">
        <x:v>4</x:v>
      </x:c>
      <x:c r="L5" s="63" t="n">
        <x:v>3</x:v>
      </x:c>
      <x:c r="M5" s="63" t="n">
        <x:f>ROUND(AVERAGE(H5:L5)*20,0)</x:f>
        <x:v>76</x:v>
      </x:c>
      <x:c r="N5" s="63" t="str">
        <x:v>高铁往返九寨、九寨完整日、熊猫基地+三星堆模块清楚</x:v>
      </x:c>
      <x:c r="O5" s="63" t="str">
        <x:v>黄龙与车次衔接必须按实际时刻复核；末日自由活动不能直接照搬</x:v>
      </x:c>
      <x:c r="P5" s="63" t="str">
        <x:v>保留整线骨架，交通段复核后再入基准库</x:v>
      </x:c>
      <x:c r="Q5" s="63" t="str">
        <x:v>适合首次来川、正常体力游客</x:v>
      </x:c>
      <x:c r="R5" s="63" t="str">
        <x:v>/Users/nxyccjx/Desktop/入境游素材/四川样板行程/九寨黄龙熊猫基地三星堆川剧表演6D5N.pdf</x:v>
      </x:c>
    </x:row>
    <x:row r="6" ht="21.600000381469727" hidden="0" customHeight="1">
      <x:c r="A6" s="64" t="n">
        <x:v>2</x:v>
      </x:c>
      <x:c r="B6" s="64" t="str">
        <x:v>熊猫基地乐山峨眉山九寨黄龙川剧7D6N4600rmb:人.pdf</x:v>
      </x:c>
      <x:c r="C6" s="64" t="str">
        <x:v>四川</x:v>
      </x:c>
      <x:c r="D6" s="64" t="str">
        <x:v>7D6N</x:v>
      </x:c>
      <x:c r="E6" s="64" t="str">
        <x:v>私家团/综合线</x:v>
      </x:c>
      <x:c r="F6" s="67" t="str">
        <x:v>B</x:v>
      </x:c>
      <x:c r="G6" s="67" t="str">
        <x:v>条件基准</x:v>
      </x:c>
      <x:c r="H6" s="64" t="n">
        <x:v>4</x:v>
      </x:c>
      <x:c r="I6" s="64" t="n">
        <x:v>3</x:v>
      </x:c>
      <x:c r="J6" s="64" t="n">
        <x:v>4</x:v>
      </x:c>
      <x:c r="K6" s="64" t="n">
        <x:v>3</x:v>
      </x:c>
      <x:c r="L6" s="64" t="n">
        <x:v>4</x:v>
      </x:c>
      <x:c r="M6" s="64" t="n">
        <x:f>ROUND(AVERAGE(H6:L6)*20,0)</x:f>
        <x:v>72</x:v>
      </x:c>
      <x:c r="N6" s="64" t="str">
        <x:v>九寨线与乐山峨眉线分段明确；乐山后住峨眉合理</x:v>
      </x:c>
      <x:c r="O6" s="64" t="str">
        <x:v>连续两条大线路，节奏偏快；不适合老人、幼儿或晚到早走航班</x:v>
      </x:c>
      <x:c r="P6" s="64" t="str">
        <x:v>保留为活力型客群模板，增加休整日选项</x:v>
      </x:c>
      <x:c r="Q6" s="64" t="str">
        <x:v>报价仅作历史样本，不可直接采用</x:v>
      </x:c>
      <x:c r="R6" s="64" t="str">
        <x:v>/Users/nxyccjx/Desktop/入境游素材/四川样板行程/熊猫基地乐山峨眉山九寨黄龙川剧7D6N4600rmb:人.pdf</x:v>
      </x:c>
    </x:row>
    <x:row r="7" ht="21.600000381469727" hidden="0" customHeight="1">
      <x:c r="A7" s="64" t="n">
        <x:v>3</x:v>
      </x:c>
      <x:c r="B7" s="64" t="str">
        <x:v>成都九寨黄龙皇城清真寺5D4N2500rmb:人.pdf</x:v>
      </x:c>
      <x:c r="C7" s="64" t="str">
        <x:v>四川</x:v>
      </x:c>
      <x:c r="D7" s="64" t="str">
        <x:v>5D4N</x:v>
      </x:c>
      <x:c r="E7" s="64" t="str">
        <x:v>清真友好/私家团</x:v>
      </x:c>
      <x:c r="F7" s="68" t="str">
        <x:v>A</x:v>
      </x:c>
      <x:c r="G7" s="68" t="str">
        <x:v>推荐基准</x:v>
      </x:c>
      <x:c r="H7" s="64" t="n">
        <x:v>4</x:v>
      </x:c>
      <x:c r="I7" s="64" t="n">
        <x:v>4</x:v>
      </x:c>
      <x:c r="J7" s="64" t="n">
        <x:v>4</x:v>
      </x:c>
      <x:c r="K7" s="64" t="n">
        <x:v>5</x:v>
      </x:c>
      <x:c r="L7" s="64" t="n">
        <x:v>4</x:v>
      </x:c>
      <x:c r="M7" s="64" t="n">
        <x:f>ROUND(AVERAGE(H7:L7)*20,0)</x:f>
        <x:v>84</x:v>
      </x:c>
      <x:c r="N7" s="64" t="str">
        <x:v>客群定位明确；清真寺、九寨完整日、黄龙返程结构合理</x:v>
      </x:c>
      <x:c r="O7" s="64" t="str">
        <x:v>清真餐厅、礼拜时间与高铁时刻仍需逐单确认</x:v>
      </x:c>
      <x:c r="P7" s="64" t="str">
        <x:v>作为清真友好线路基准，补充餐厅与礼拜点字段</x:v>
      </x:c>
      <x:c r="Q7" s="64" t="str">
        <x:v>本批最有业务辨识度的样板之一</x:v>
      </x:c>
      <x:c r="R7" s="64" t="str">
        <x:v>/Users/nxyccjx/Desktop/入境游素材/四川样板行程/成都九寨黄龙皇城清真寺5D4N2500rmb:人.pdf</x:v>
      </x:c>
    </x:row>
    <x:row r="8" ht="21.600000381469727" hidden="0" customHeight="1">
      <x:c r="A8" s="64" t="n">
        <x:v>4</x:v>
      </x:c>
      <x:c r="B8" s="64" t="str">
        <x:v>川渝双城三星堆熊猫基地杜甫草堂武侯祠锦里重庆解放碑长江索道李子坝磁器口6D5N3200rmb:人.pdf</x:v>
      </x:c>
      <x:c r="C8" s="64" t="str">
        <x:v>川渝</x:v>
      </x:c>
      <x:c r="D8" s="64" t="str">
        <x:v>6D5N</x:v>
      </x:c>
      <x:c r="E8" s="64" t="str">
        <x:v>跨省综合线</x:v>
      </x:c>
      <x:c r="F8" s="69" t="str">
        <x:v>归档</x:v>
      </x:c>
      <x:c r="G8" s="69" t="str">
        <x:v>超出一期范围</x:v>
      </x:c>
      <x:c r="H8" s="64" t="n">
        <x:v>3</x:v>
      </x:c>
      <x:c r="I8" s="64" t="n">
        <x:v>3</x:v>
      </x:c>
      <x:c r="J8" s="64" t="n">
        <x:v>4</x:v>
      </x:c>
      <x:c r="K8" s="64" t="n">
        <x:v>3</x:v>
      </x:c>
      <x:c r="L8" s="64" t="n">
        <x:v>3</x:v>
      </x:c>
      <x:c r="M8" s="64" t="n">
        <x:f>ROUND(AVERAGE(H8:L8)*20,0)</x:f>
        <x:v>64</x:v>
      </x:c>
      <x:c r="N8" s="64" t="str">
        <x:v>熊猫基地+三星堆、成都城市模块可拆用</x:v>
      </x:c>
      <x:c r="O8" s="64" t="str">
        <x:v>重庆段超出当前四川一期；整线不能作为四川生成基准</x:v>
      </x:c>
      <x:c r="P8" s="64" t="str">
        <x:v>仅提取四川模块，整线归档</x:v>
      </x:c>
      <x:c r="Q8" s="64" t="str">
        <x:v>后续扩展重庆时再重新审核</x:v>
      </x:c>
      <x:c r="R8" s="64" t="str">
        <x:v>/Users/nxyccjx/Desktop/入境游素材/四川样板行程/川渝双城三星堆熊猫基地杜甫草堂武侯祠锦里重庆解放碑长江索道李子坝磁器口6D5N3200rmb:人.pdf</x:v>
      </x:c>
    </x:row>
    <x:row r="9" ht="21.600000381469727" hidden="0" customHeight="1">
      <x:c r="A9" s="64" t="n">
        <x:v>5</x:v>
      </x:c>
      <x:c r="B9" s="64" t="str">
        <x:v>九寨黄龙熊猫藏寨大巴跟团3D2N.pdf</x:v>
      </x:c>
      <x:c r="C9" s="64" t="str">
        <x:v>四川</x:v>
      </x:c>
      <x:c r="D9" s="64" t="str">
        <x:v>3D2N</x:v>
      </x:c>
      <x:c r="E9" s="64" t="str">
        <x:v>大巴跟团</x:v>
      </x:c>
      <x:c r="F9" s="70" t="str">
        <x:v>C</x:v>
      </x:c>
      <x:c r="G9" s="70" t="str">
        <x:v>反例/条件参考</x:v>
      </x:c>
      <x:c r="H9" s="64" t="n">
        <x:v>2</x:v>
      </x:c>
      <x:c r="I9" s="64" t="n">
        <x:v>1</x:v>
      </x:c>
      <x:c r="J9" s="64" t="n">
        <x:v>2</x:v>
      </x:c>
      <x:c r="K9" s="64" t="n">
        <x:v>2</x:v>
      </x:c>
      <x:c r="L9" s="64" t="n">
        <x:v>2</x:v>
      </x:c>
      <x:c r="M9" s="64" t="n">
        <x:f>ROUND(AVERAGE(H9:L9)*20,0)</x:f>
        <x:v>36</x:v>
      </x:c>
      <x:c r="N9" s="64" t="str">
        <x:v>可了解传统大巴团产品结构</x:v>
      </x:c>
      <x:c r="O9" s="64" t="str">
        <x:v>早出晚归、长距离公路、购物或家访语境风险；不符合自由行本地支持定位</x:v>
      </x:c>
      <x:c r="P9" s="64" t="str">
        <x:v>仅保留景点顺序作反例，不入生成基准</x:v>
      </x:c>
      <x:c r="Q9" s="64" t="str">
        <x:v>不能把团游节奏迁移到私家定制</x:v>
      </x:c>
      <x:c r="R9" s="64" t="str">
        <x:v>/Users/nxyccjx/Desktop/入境游素材/四川样板行程/九寨黄龙熊猫藏寨大巴跟团3D2N.pdf</x:v>
      </x:c>
    </x:row>
    <x:row r="10" ht="21.600000381469727" hidden="0" customHeight="1">
      <x:c r="A10" s="64" t="n">
        <x:v>6</x:v>
      </x:c>
      <x:c r="B10" s="64" t="str">
        <x:v>成都四姑娘山高铁往返九寨4D3N.pdf</x:v>
      </x:c>
      <x:c r="C10" s="64" t="str">
        <x:v>四川</x:v>
      </x:c>
      <x:c r="D10" s="64" t="str">
        <x:v>4D3N</x:v>
      </x:c>
      <x:c r="E10" s="64" t="str">
        <x:v>高强度综合线</x:v>
      </x:c>
      <x:c r="F10" s="70" t="str">
        <x:v>C</x:v>
      </x:c>
      <x:c r="G10" s="70" t="str">
        <x:v>反例/条件参考</x:v>
      </x:c>
      <x:c r="H10" s="64" t="n">
        <x:v>2</x:v>
      </x:c>
      <x:c r="I10" s="64" t="n">
        <x:v>2</x:v>
      </x:c>
      <x:c r="J10" s="64" t="n">
        <x:v>2</x:v>
      </x:c>
      <x:c r="K10" s="64" t="n">
        <x:v>2</x:v>
      </x:c>
      <x:c r="L10" s="64" t="n">
        <x:v>3</x:v>
      </x:c>
      <x:c r="M10" s="64" t="n">
        <x:f>ROUND(AVERAGE(H10:L10)*20,0)</x:f>
        <x:v>44</x:v>
      </x:c>
      <x:c r="N10" s="64" t="str">
        <x:v>包含九寨高铁模块与四姑娘山模块</x:v>
      </x:c>
      <x:c r="O10" s="64" t="str">
        <x:v>九寨返成都后立即开启四姑娘山；末日长途往返并游沟，负荷过高</x:v>
      </x:c>
      <x:c r="P10" s="64" t="str">
        <x:v>拆成两个独立模块，禁止整线自动生成</x:v>
      </x:c>
      <x:c r="Q10" s="64" t="str">
        <x:v>需要至少增加1天缓冲</x:v>
      </x:c>
      <x:c r="R10" s="64" t="str">
        <x:v>/Users/nxyccjx/Desktop/入境游素材/四川样板行程/成都四姑娘山高铁往返九寨4D3N.pdf</x:v>
      </x:c>
    </x:row>
    <x:row r="11" ht="21.600000381469727" hidden="0" customHeight="1">
      <x:c r="A11" s="64" t="n">
        <x:v>7</x:v>
      </x:c>
      <x:c r="B11" s="64" t="str">
        <x:v>四姑娘山毕棚沟理小路3D2N2300rmb:ren.pdf</x:v>
      </x:c>
      <x:c r="C11" s="64" t="str">
        <x:v>四川</x:v>
      </x:c>
      <x:c r="D11" s="64" t="str">
        <x:v>3D2N</x:v>
      </x:c>
      <x:c r="E11" s="64" t="str">
        <x:v>川西小环线</x:v>
      </x:c>
      <x:c r="F11" s="67" t="str">
        <x:v>B</x:v>
      </x:c>
      <x:c r="G11" s="67" t="str">
        <x:v>条件基准</x:v>
      </x:c>
      <x:c r="H11" s="64" t="n">
        <x:v>4</x:v>
      </x:c>
      <x:c r="I11" s="64" t="n">
        <x:v>4</x:v>
      </x:c>
      <x:c r="J11" s="64" t="n">
        <x:v>4</x:v>
      </x:c>
      <x:c r="K11" s="64" t="n">
        <x:v>3</x:v>
      </x:c>
      <x:c r="L11" s="64" t="n">
        <x:v>4</x:v>
      </x:c>
      <x:c r="M11" s="64" t="n">
        <x:f>ROUND(AVERAGE(H11:L11)*20,0)</x:f>
        <x:v>76</x:v>
      </x:c>
      <x:c r="N11" s="64" t="str">
        <x:v>毕棚沟、理小路、四姑娘山形成连续环线，不回成都绕路</x:v>
      </x:c>
      <x:c r="O11" s="64" t="str">
        <x:v>理小路季节性开放；长坪沟与双桥沟取舍需按体力和季节</x:v>
      </x:c>
      <x:c r="P11" s="64" t="str">
        <x:v>保留为川西活力型模板，生成前强制查道路状态</x:v>
      </x:c>
      <x:c r="Q11" s="64" t="str">
        <x:v>方向可根据住宿与天气反转</x:v>
      </x:c>
      <x:c r="R11" s="64" t="str">
        <x:v>/Users/nxyccjx/Desktop/入境游素材/四川样板行程/四姑娘山毕棚沟理小路3D2N2300rmb:ren.pdf</x:v>
      </x:c>
    </x:row>
    <x:row r="12" ht="21.600000381469727" hidden="0" customHeight="1">
      <x:c r="A12" s="64" t="n">
        <x:v>8</x:v>
      </x:c>
      <x:c r="B12" s="64" t="str">
        <x:v>川渝双城经典线路5D4N3100rmb:人.pdf</x:v>
      </x:c>
      <x:c r="C12" s="64" t="str">
        <x:v>川渝</x:v>
      </x:c>
      <x:c r="D12" s="64" t="str">
        <x:v>5D4N</x:v>
      </x:c>
      <x:c r="E12" s="64" t="str">
        <x:v>跨省综合线</x:v>
      </x:c>
      <x:c r="F12" s="69" t="str">
        <x:v>归档</x:v>
      </x:c>
      <x:c r="G12" s="69" t="str">
        <x:v>超出一期范围</x:v>
      </x:c>
      <x:c r="H12" s="64" t="n">
        <x:v>3</x:v>
      </x:c>
      <x:c r="I12" s="64" t="n">
        <x:v>2</x:v>
      </x:c>
      <x:c r="J12" s="64" t="n">
        <x:v>4</x:v>
      </x:c>
      <x:c r="K12" s="64" t="n">
        <x:v>3</x:v>
      </x:c>
      <x:c r="L12" s="64" t="n">
        <x:v>3</x:v>
      </x:c>
      <x:c r="M12" s="64" t="n">
        <x:f>ROUND(AVERAGE(H12:L12)*20,0)</x:f>
        <x:v>60</x:v>
      </x:c>
      <x:c r="N12" s="64" t="str">
        <x:v>成都城市与重庆城市模块可拆用</x:v>
      </x:c>
      <x:c r="O12" s="64" t="str">
        <x:v>熊猫基地与都江堰同日路线偏拉扯；重庆超出一期</x:v>
      </x:c>
      <x:c r="P12" s="64" t="str">
        <x:v>提取城市模块，整线归档</x:v>
      </x:c>
      <x:c r="Q12" s="64" t="str">
        <x:v>不作为四川完整行程基准</x:v>
      </x:c>
      <x:c r="R12" s="64" t="str">
        <x:v>/Users/nxyccjx/Desktop/入境游素材/四川样板行程/川渝双城经典线路5D4N3100rmb:人.pdf</x:v>
      </x:c>
    </x:row>
    <x:row r="13" ht="21.600000381469727" hidden="0" customHeight="1">
      <x:c r="A13" s="64" t="n">
        <x:v>9</x:v>
      </x:c>
      <x:c r="B13" s="64" t="str">
        <x:v>熊猫三星堆成都市区景点4D3N1900rmb:人.pdf</x:v>
      </x:c>
      <x:c r="C13" s="64" t="str">
        <x:v>四川</x:v>
      </x:c>
      <x:c r="D13" s="64" t="str">
        <x:v>4D3N</x:v>
      </x:c>
      <x:c r="E13" s="64" t="str">
        <x:v>成都文化线</x:v>
      </x:c>
      <x:c r="F13" s="68" t="str">
        <x:v>A</x:v>
      </x:c>
      <x:c r="G13" s="68" t="str">
        <x:v>推荐基准</x:v>
      </x:c>
      <x:c r="H13" s="64" t="n">
        <x:v>5</x:v>
      </x:c>
      <x:c r="I13" s="64" t="n">
        <x:v>4</x:v>
      </x:c>
      <x:c r="J13" s="64" t="n">
        <x:v>5</x:v>
      </x:c>
      <x:c r="K13" s="64" t="n">
        <x:v>4</x:v>
      </x:c>
      <x:c r="L13" s="64" t="n">
        <x:v>4</x:v>
      </x:c>
      <x:c r="M13" s="64" t="n">
        <x:f>ROUND(AVERAGE(H13:L13)*20,0)</x:f>
        <x:v>88</x:v>
      </x:c>
      <x:c r="N13" s="64" t="str">
        <x:v>熊猫基地+三星堆组合稳定；成都历史文化景点分组清楚</x:v>
      </x:c>
      <x:c r="O13" s="64" t="str">
        <x:v>需按预约时段调整熊猫基地、三星堆顺序</x:v>
      </x:c>
      <x:c r="P13" s="64" t="str">
        <x:v>作为成都4日基础模板</x:v>
      </x:c>
      <x:c r="Q13" s="64" t="str">
        <x:v>适合首次访客，可按航班压缩或扩展</x:v>
      </x:c>
      <x:c r="R13" s="64" t="str">
        <x:v>/Users/nxyccjx/Desktop/入境游素材/四川样板行程/熊猫三星堆成都市区景点4D3N1900rmb:人.pdf</x:v>
      </x:c>
    </x:row>
    <x:row r="14" ht="21.600000381469727" hidden="0" customHeight="1">
      <x:c r="A14" s="64" t="n">
        <x:v>10</x:v>
      </x:c>
      <x:c r="B14" s="64" t="str">
        <x:v>成都九寨沟三星堆熊猫基地5D4N.pdf</x:v>
      </x:c>
      <x:c r="C14" s="64" t="str">
        <x:v>四川</x:v>
      </x:c>
      <x:c r="D14" s="64" t="str">
        <x:v>5D4N</x:v>
      </x:c>
      <x:c r="E14" s="64" t="str">
        <x:v>综合线</x:v>
      </x:c>
      <x:c r="F14" s="70" t="str">
        <x:v>C</x:v>
      </x:c>
      <x:c r="G14" s="70" t="str">
        <x:v>局部参考</x:v>
      </x:c>
      <x:c r="H14" s="64" t="n">
        <x:v>3</x:v>
      </x:c>
      <x:c r="I14" s="64" t="n">
        <x:v>2</x:v>
      </x:c>
      <x:c r="J14" s="64" t="n">
        <x:v>3</x:v>
      </x:c>
      <x:c r="K14" s="64" t="n">
        <x:v>3</x:v>
      </x:c>
      <x:c r="L14" s="64" t="n">
        <x:v>3</x:v>
      </x:c>
      <x:c r="M14" s="64" t="n">
        <x:f>ROUND(AVERAGE(H14:L14)*20,0)</x:f>
        <x:v>56</x:v>
      </x:c>
      <x:c r="N14" s="64" t="str">
        <x:v>熊猫基地+三星堆可复用；九寨段景点选择正确</x:v>
      </x:c>
      <x:c r="O14" s="64" t="str">
        <x:v>九寨完整游后同日赶高铁返成都，存在离园过早或赶车风险</x:v>
      </x:c>
      <x:c r="P14" s="64" t="str">
        <x:v>只拆模块；九寨完整日默认继续住九寨</x:v>
      </x:c>
      <x:c r="Q14" s="64" t="str">
        <x:v>不得把营销文案中的“全天”直接视为可执行</x:v>
      </x:c>
      <x:c r="R14" s="64" t="str">
        <x:v>/Users/nxyccjx/Desktop/入境游素材/四川样板行程/成都九寨沟三星堆熊猫基地5D4N.pdf</x:v>
      </x:c>
    </x:row>
    <x:row r="15" ht="21.600000381469727" hidden="0" customHeight="1">
      <x:c r="A15" s="64" t="n">
        <x:v>11</x:v>
      </x:c>
      <x:c r="B15" s="64" t="str">
        <x:v>九寨黄龙四姑娘山毕棚沟成都市区景点6D5N.pdf</x:v>
      </x:c>
      <x:c r="C15" s="64" t="str">
        <x:v>四川</x:v>
      </x:c>
      <x:c r="D15" s="64" t="str">
        <x:v>6D5N</x:v>
      </x:c>
      <x:c r="E15" s="64" t="str">
        <x:v>川西+九寨压缩线</x:v>
      </x:c>
      <x:c r="F15" s="70" t="str">
        <x:v>C</x:v>
      </x:c>
      <x:c r="G15" s="70" t="str">
        <x:v>反例/条件参考</x:v>
      </x:c>
      <x:c r="H15" s="64" t="n">
        <x:v>2</x:v>
      </x:c>
      <x:c r="I15" s="64" t="n">
        <x:v>1</x:v>
      </x:c>
      <x:c r="J15" s="64" t="n">
        <x:v>2</x:v>
      </x:c>
      <x:c r="K15" s="64" t="n">
        <x:v>2</x:v>
      </x:c>
      <x:c r="L15" s="64" t="n">
        <x:v>2</x:v>
      </x:c>
      <x:c r="M15" s="64" t="n">
        <x:f>ROUND(AVERAGE(H15:L15)*20,0)</x:f>
        <x:v>36</x:v>
      </x:c>
      <x:c r="N15" s="64" t="str">
        <x:v>覆盖主要目的地，可用作需求识别样本</x:v>
      </x:c>
      <x:c r="O15" s="64" t="str">
        <x:v>四姑娘山、毕棚沟、九寨连续跨区过密；部分车程明显偏乐观</x:v>
      </x:c>
      <x:c r="P15" s="64" t="str">
        <x:v>禁止整线生成，仅保留地点关系与反例规则</x:v>
      </x:c>
      <x:c r="Q15" s="64" t="str">
        <x:v>建议拆成8-10天或二选一</x:v>
      </x:c>
      <x:c r="R15" s="64" t="str">
        <x:v>/Users/nxyccjx/Desktop/入境游素材/四川样板行程/九寨黄龙四姑娘山毕棚沟成都市区景点6D5N.pdf</x:v>
      </x:c>
    </x:row>
    <x:row r="16" ht="21.600000381469727" hidden="0" customHeight="1">
      <x:c r="A16" s="64" t="n">
        <x:v>12</x:v>
      </x:c>
      <x:c r="B16" s="64" t="str">
        <x:v>九寨松潘古城熊猫基地高铁往返3D2N-行程一般.pdf</x:v>
      </x:c>
      <x:c r="C16" s="64" t="str">
        <x:v>四川</x:v>
      </x:c>
      <x:c r="D16" s="64" t="str">
        <x:v>3D2N</x:v>
      </x:c>
      <x:c r="E16" s="64" t="str">
        <x:v>九寨短线</x:v>
      </x:c>
      <x:c r="F16" s="70" t="str">
        <x:v>C</x:v>
      </x:c>
      <x:c r="G16" s="70" t="str">
        <x:v>局部参考</x:v>
      </x:c>
      <x:c r="H16" s="64" t="n">
        <x:v>3</x:v>
      </x:c>
      <x:c r="I16" s="64" t="n">
        <x:v>2</x:v>
      </x:c>
      <x:c r="J16" s="64" t="n">
        <x:v>3</x:v>
      </x:c>
      <x:c r="K16" s="64" t="n">
        <x:v>3</x:v>
      </x:c>
      <x:c r="L16" s="64" t="n">
        <x:v>3</x:v>
      </x:c>
      <x:c r="M16" s="64" t="n">
        <x:f>ROUND(AVERAGE(H16:L16)*20,0)</x:f>
        <x:v>56</x:v>
      </x:c>
      <x:c r="N16" s="64" t="str">
        <x:v>熊猫基地、松潘、九寨的素材可拆用</x:v>
      </x:c>
      <x:c r="O16" s="64" t="str">
        <x:v>首日景点+高铁转运，末日古城+返程；缺少黄龙且节奏受车次制约</x:v>
      </x:c>
      <x:c r="P16" s="64" t="str">
        <x:v>不做基准；松潘仅作顺路可选模块</x:v>
      </x:c>
      <x:c r="Q16" s="64" t="str">
        <x:v>文件名已标注“行程一般”，与初审一致</x:v>
      </x:c>
      <x:c r="R16" s="64" t="str">
        <x:v>/Users/nxyccjx/Desktop/入境游素材/四川样板行程/九寨松潘古城熊猫基地高铁往返3D2N-行程一般.pdf</x:v>
      </x:c>
    </x:row>
    <x:row r="17" ht="15" hidden="0" customHeight="1">
      <x:c r="A17" s="64" t="n">
        <x:v>13</x:v>
      </x:c>
      <x:c r="B17" s="64" t="str">
        <x:v>九寨黄龙藏族家访3D2N.pdf</x:v>
      </x:c>
      <x:c r="C17" s="64" t="str">
        <x:v>四川</x:v>
      </x:c>
      <x:c r="D17" s="64" t="str">
        <x:v>3D2N</x:v>
      </x:c>
      <x:c r="E17" s="64" t="str">
        <x:v>大巴跟团</x:v>
      </x:c>
      <x:c r="F17" s="70" t="str">
        <x:v>C</x:v>
      </x:c>
      <x:c r="G17" s="70" t="str">
        <x:v>反例/条件参考</x:v>
      </x:c>
      <x:c r="H17" s="64" t="n">
        <x:v>2</x:v>
      </x:c>
      <x:c r="I17" s="64" t="n">
        <x:v>1</x:v>
      </x:c>
      <x:c r="J17" s="64" t="n">
        <x:v>2</x:v>
      </x:c>
      <x:c r="K17" s="64" t="n">
        <x:v>2</x:v>
      </x:c>
      <x:c r="L17" s="64" t="n">
        <x:v>2</x:v>
      </x:c>
      <x:c r="M17" s="64" t="n">
        <x:f>ROUND(AVERAGE(H17:L17)*20,0)</x:f>
        <x:v>36</x:v>
      </x:c>
      <x:c r="N17" s="64" t="str">
        <x:v>可观察传统九寨黄龙三日团顺序</x:v>
      </x:c>
      <x:c r="O17" s="64" t="str">
        <x:v>两端均为超长公路日；家访安排不应默认加入海外自由行客群</x:v>
      </x:c>
      <x:c r="P17" s="64" t="str">
        <x:v>仅作历史产品反例</x:v>
      </x:c>
      <x:c r="Q17" s="64" t="str">
        <x:v>需要明确是否购物、推销或强制体验</x:v>
      </x:c>
      <x:c r="R17" s="64" t="str">
        <x:v>/Users/nxyccjx/Desktop/入境游素材/四川样板行程/九寨黄龙藏族家访3D2N.pdf</x:v>
      </x:c>
    </x:row>
    <x:row r="18" ht="21.600000381469727" hidden="0" customHeight="1">
      <x:c r="A18" s="64" t="n">
        <x:v>14</x:v>
      </x:c>
      <x:c r="B18" s="64" t="str">
        <x:v>川渝双城市区景点九寨黄龙北山石刻10D9N6300rmb:人.pdf</x:v>
      </x:c>
      <x:c r="C18" s="64" t="str">
        <x:v>川渝</x:v>
      </x:c>
      <x:c r="D18" s="64" t="str">
        <x:v>10D9N</x:v>
      </x:c>
      <x:c r="E18" s="64" t="str">
        <x:v>跨省长线</x:v>
      </x:c>
      <x:c r="F18" s="69" t="str">
        <x:v>归档</x:v>
      </x:c>
      <x:c r="G18" s="69" t="str">
        <x:v>超出一期范围</x:v>
      </x:c>
      <x:c r="H18" s="64" t="n">
        <x:v>3</x:v>
      </x:c>
      <x:c r="I18" s="64" t="n">
        <x:v>3</x:v>
      </x:c>
      <x:c r="J18" s="64" t="n">
        <x:v>4</x:v>
      </x:c>
      <x:c r="K18" s="64" t="n">
        <x:v>3</x:v>
      </x:c>
      <x:c r="L18" s="64" t="n">
        <x:v>3</x:v>
      </x:c>
      <x:c r="M18" s="64" t="n">
        <x:f>ROUND(AVERAGE(H18:L18)*20,0)</x:f>
        <x:v>64</x:v>
      </x:c>
      <x:c r="N18" s="64" t="str">
        <x:v>成都、九寨、重庆可拆成独立模块</x:v>
      </x:c>
      <x:c r="O18" s="64" t="str">
        <x:v>跨省且内容复杂；黄龙、中查沟、返程组合可能过满</x:v>
      </x:c>
      <x:c r="P18" s="64" t="str">
        <x:v>仅提取四川模块，整线归档</x:v>
      </x:c>
      <x:c r="Q18" s="64" t="str">
        <x:v>未来多目的地版本再审核</x:v>
      </x:c>
      <x:c r="R18" s="64" t="str">
        <x:v>/Users/nxyccjx/Desktop/入境游素材/四川样板行程/川渝双城市区景点九寨黄龙北山石刻10D9N6300rmb:人.pdf</x:v>
      </x:c>
    </x:row>
    <x:row r="19" ht="21.600000381469727" hidden="0" customHeight="1">
      <x:c r="A19" s="64" t="n">
        <x:v>15</x:v>
      </x:c>
      <x:c r="B19" s="64" t="str">
        <x:v>熊猫基地三星堆都江堰南侨成都市区景点3D2N1950rmb:人.pdf</x:v>
      </x:c>
      <x:c r="C19" s="64" t="str">
        <x:v>四川</x:v>
      </x:c>
      <x:c r="D19" s="64" t="str">
        <x:v>3D2N</x:v>
      </x:c>
      <x:c r="E19" s="64" t="str">
        <x:v>成都周边模块集</x:v>
      </x:c>
      <x:c r="F19" s="67" t="str">
        <x:v>B</x:v>
      </x:c>
      <x:c r="G19" s="67" t="str">
        <x:v>模块基准</x:v>
      </x:c>
      <x:c r="H19" s="64" t="n">
        <x:v>4</x:v>
      </x:c>
      <x:c r="I19" s="64" t="n">
        <x:v>4</x:v>
      </x:c>
      <x:c r="J19" s="64" t="n">
        <x:v>4</x:v>
      </x:c>
      <x:c r="K19" s="64" t="n">
        <x:v>4</x:v>
      </x:c>
      <x:c r="L19" s="64" t="n">
        <x:v>4</x:v>
      </x:c>
      <x:c r="M19" s="64" t="n">
        <x:f>ROUND(AVERAGE(H19:L19)*20,0)</x:f>
        <x:v>80</x:v>
      </x:c>
      <x:c r="N19" s="64" t="str">
        <x:v>三组成熟一日模块：熊猫+三星堆、都江堰+南桥、成都文化景点</x:v>
      </x:c>
      <x:c r="O19" s="64" t="str">
        <x:v>缺少完整到达/离开逻辑；不能直接当作3D2N成品</x:v>
      </x:c>
      <x:c r="P19" s="64" t="str">
        <x:v>作为模块库，不作为完整旅程模板</x:v>
      </x:c>
      <x:c r="Q19" s="64" t="str">
        <x:v>适合按客户航班自由拼接</x:v>
      </x:c>
      <x:c r="R19" s="64" t="str">
        <x:v>/Users/nxyccjx/Desktop/入境游素材/四川样板行程/熊猫基地三星堆都江堰南侨成都市区景点3D2N1950rmb:人.pdf</x:v>
      </x:c>
    </x:row>
    <x:row r="20" ht="21.600000381469727" hidden="0" customHeight="1">
      <x:c r="A20" s="64" t="n">
        <x:v>16</x:v>
      </x:c>
      <x:c r="B20" s="64" t="str">
        <x:v>都江堰四姑娘山毕棚沟私人包团3D2N2500rmb:人.pdf</x:v>
      </x:c>
      <x:c r="C20" s="64" t="str">
        <x:v>四川</x:v>
      </x:c>
      <x:c r="D20" s="64" t="str">
        <x:v>3D2N</x:v>
      </x:c>
      <x:c r="E20" s="64" t="str">
        <x:v>川西小环线</x:v>
      </x:c>
      <x:c r="F20" s="68" t="str">
        <x:v>A</x:v>
      </x:c>
      <x:c r="G20" s="68" t="str">
        <x:v>推荐基准</x:v>
      </x:c>
      <x:c r="H20" s="64" t="n">
        <x:v>5</x:v>
      </x:c>
      <x:c r="I20" s="64" t="n">
        <x:v>4</x:v>
      </x:c>
      <x:c r="J20" s="64" t="n">
        <x:v>5</x:v>
      </x:c>
      <x:c r="K20" s="64" t="n">
        <x:v>3</x:v>
      </x:c>
      <x:c r="L20" s="64" t="n">
        <x:v>4</x:v>
      </x:c>
      <x:c r="M20" s="64" t="n">
        <x:f>ROUND(AVERAGE(H20:L20)*20,0)</x:f>
        <x:v>84</x:v>
      </x:c>
      <x:c r="N20" s="64" t="str">
        <x:v>成都—都江堰—四姑娘山—毕棚沟—成都形成连续路线</x:v>
      </x:c>
      <x:c r="O20" s="64" t="str">
        <x:v>首日都江堰后进山较长；高海拔与晚到风险需说明</x:v>
      </x:c>
      <x:c r="P20" s="64" t="str">
        <x:v>作为3日川西环线基准，首日设置截止出发时间</x:v>
      </x:c>
      <x:c r="Q20" s="64" t="str">
        <x:v>老人、幼儿与冬季需降强度</x:v>
      </x:c>
      <x:c r="R20" s="64" t="str">
        <x:v>/Users/nxyccjx/Desktop/入境游素材/四川样板行程/都江堰四姑娘山毕棚沟私人包团3D2N2500rmb:人.pdf</x:v>
      </x:c>
    </x:row>
    <x:row r="21" ht="21.600000381469727" hidden="0" customHeight="1">
      <x:c r="A21" s="64" t="n">
        <x:v>17</x:v>
      </x:c>
      <x:c r="B21" s="64" t="str">
        <x:v>九寨黄龙熊猫藏族家访大巴跟团.pdf</x:v>
      </x:c>
      <x:c r="C21" s="64" t="str">
        <x:v>四川</x:v>
      </x:c>
      <x:c r="D21" s="64" t="str">
        <x:v>3D2N</x:v>
      </x:c>
      <x:c r="E21" s="64" t="str">
        <x:v>大巴跟团</x:v>
      </x:c>
      <x:c r="F21" s="70" t="str">
        <x:v>C</x:v>
      </x:c>
      <x:c r="G21" s="70" t="str">
        <x:v>反例/条件参考</x:v>
      </x:c>
      <x:c r="H21" s="64" t="n">
        <x:v>2</x:v>
      </x:c>
      <x:c r="I21" s="64" t="n">
        <x:v>1</x:v>
      </x:c>
      <x:c r="J21" s="64" t="n">
        <x:v>2</x:v>
      </x:c>
      <x:c r="K21" s="64" t="n">
        <x:v>2</x:v>
      </x:c>
      <x:c r="L21" s="64" t="n">
        <x:v>2</x:v>
      </x:c>
      <x:c r="M21" s="64" t="n">
        <x:f>ROUND(AVERAGE(H21:L21)*20,0)</x:f>
        <x:v>36</x:v>
      </x:c>
      <x:c r="N21" s="64" t="str">
        <x:v>可用于识别市场常见低价团结构</x:v>
      </x:c>
      <x:c r="O21" s="64" t="str">
        <x:v>长距离公路、早起、家访及潜在购物风险，不符目标体验</x:v>
      </x:c>
      <x:c r="P21" s="64" t="str">
        <x:v>不入生成基准，仅归入反例库</x:v>
      </x:c>
      <x:c r="Q21" s="64" t="str">
        <x:v>与同类三日团重复度高</x:v>
      </x:c>
      <x:c r="R21" s="64" t="str">
        <x:v>/Users/nxyccjx/Desktop/入境游素材/四川样板行程/九寨黄龙熊猫藏族家访大巴跟团.pdf</x:v>
      </x:c>
    </x:row>
    <x:row r="22" ht="21.600000381469727" hidden="0" customHeight="1">
      <x:c r="A22" s="64" t="n">
        <x:v>18</x:v>
      </x:c>
      <x:c r="B22" s="64" t="str">
        <x:v>四姑娘山+毕棚沟2D1N1850rmb:人.pdf</x:v>
      </x:c>
      <x:c r="C22" s="64" t="str">
        <x:v>四川</x:v>
      </x:c>
      <x:c r="D22" s="64" t="str">
        <x:v>2D1N</x:v>
      </x:c>
      <x:c r="E22" s="64" t="str">
        <x:v>川西压缩线</x:v>
      </x:c>
      <x:c r="F22" s="70" t="str">
        <x:v>C</x:v>
      </x:c>
      <x:c r="G22" s="70" t="str">
        <x:v>反例/条件参考</x:v>
      </x:c>
      <x:c r="H22" s="64" t="n">
        <x:v>3</x:v>
      </x:c>
      <x:c r="I22" s="64" t="n">
        <x:v>1</x:v>
      </x:c>
      <x:c r="J22" s="64" t="n">
        <x:v>2</x:v>
      </x:c>
      <x:c r="K22" s="64" t="n">
        <x:v>2</x:v>
      </x:c>
      <x:c r="L22" s="64" t="n">
        <x:v>3</x:v>
      </x:c>
      <x:c r="M22" s="64" t="n">
        <x:f>ROUND(AVERAGE(H22:L22)*20,0)</x:f>
        <x:v>44</x:v>
      </x:c>
      <x:c r="N22" s="64" t="str">
        <x:v>目的地组合有市场需求</x:v>
      </x:c>
      <x:c r="O22" s="64" t="str">
        <x:v>两天完成两大景区并往返成都，几乎无缓冲，遇堵车或天气即失控</x:v>
      </x:c>
      <x:c r="P22" s="64" t="str">
        <x:v>仅对高体力、明确接受赶路者人工确认后使用</x:v>
      </x:c>
      <x:c r="Q22" s="64" t="str">
        <x:v>默认生成器不得推荐</x:v>
      </x:c>
      <x:c r="R22" s="64" t="str">
        <x:v>/Users/nxyccjx/Desktop/入境游素材/四川样板行程/四姑娘山+毕棚沟2D1N1850rmb:人.pdf</x:v>
      </x:c>
    </x:row>
    <x:row r="23" ht="21.600000381469727" hidden="0" customHeight="1">
      <x:c r="A23" s="64" t="n">
        <x:v>19</x:v>
      </x:c>
      <x:c r="B23" s="64" t="str">
        <x:v>成都重庆九寨黄龙纯玩8D7N.pdf</x:v>
      </x:c>
      <x:c r="C23" s="64" t="str">
        <x:v>川渝</x:v>
      </x:c>
      <x:c r="D23" s="64" t="str">
        <x:v>8D7N</x:v>
      </x:c>
      <x:c r="E23" s="64" t="str">
        <x:v>跨省综合线</x:v>
      </x:c>
      <x:c r="F23" s="69" t="str">
        <x:v>归档</x:v>
      </x:c>
      <x:c r="G23" s="69" t="str">
        <x:v>超出一期范围</x:v>
      </x:c>
      <x:c r="H23" s="64" t="n">
        <x:v>3</x:v>
      </x:c>
      <x:c r="I23" s="64" t="n">
        <x:v>3</x:v>
      </x:c>
      <x:c r="J23" s="64" t="n">
        <x:v>4</x:v>
      </x:c>
      <x:c r="K23" s="64" t="n">
        <x:v>3</x:v>
      </x:c>
      <x:c r="L23" s="64" t="n">
        <x:v>3</x:v>
      </x:c>
      <x:c r="M23" s="64" t="n">
        <x:f>ROUND(AVERAGE(H23:L23)*20,0)</x:f>
        <x:v>64</x:v>
      </x:c>
      <x:c r="N23" s="64" t="str">
        <x:v>九寨与重庆模块可拆用</x:v>
      </x:c>
      <x:c r="O23" s="64" t="str">
        <x:v>包含较长公路进九寨方案，可能已被高铁替代；重庆超出一期</x:v>
      </x:c>
      <x:c r="P23" s="64" t="str">
        <x:v>提取模块并标记交通方式年代，整线归档</x:v>
      </x:c>
      <x:c r="Q23" s="64" t="str">
        <x:v>不可把旧交通方式当默认</x:v>
      </x:c>
      <x:c r="R23" s="64" t="str">
        <x:v>/Users/nxyccjx/Desktop/入境游素材/四川样板行程/成都重庆九寨黄龙纯玩8D7N.pdf</x:v>
      </x:c>
    </x:row>
    <x:row r="24" ht="21.600000381469727" hidden="0" customHeight="1">
      <x:c r="A24" s="64" t="n">
        <x:v>20</x:v>
      </x:c>
      <x:c r="B24" s="64" t="str">
        <x:v>卧龙熊猫苑四姑娘山毕棚沟3D2N2300rmb:人.pdf</x:v>
      </x:c>
      <x:c r="C24" s="64" t="str">
        <x:v>四川</x:v>
      </x:c>
      <x:c r="D24" s="64" t="str">
        <x:v>3D2N</x:v>
      </x:c>
      <x:c r="E24" s="64" t="str">
        <x:v>川西小环线</x:v>
      </x:c>
      <x:c r="F24" s="68" t="str">
        <x:v>A</x:v>
      </x:c>
      <x:c r="G24" s="68" t="str">
        <x:v>推荐基准</x:v>
      </x:c>
      <x:c r="H24" s="64" t="n">
        <x:v>5</x:v>
      </x:c>
      <x:c r="I24" s="64" t="n">
        <x:v>4</x:v>
      </x:c>
      <x:c r="J24" s="64" t="n">
        <x:v>5</x:v>
      </x:c>
      <x:c r="K24" s="64" t="n">
        <x:v>4</x:v>
      </x:c>
      <x:c r="L24" s="64" t="n">
        <x:v>4</x:v>
      </x:c>
      <x:c r="M24" s="64" t="n">
        <x:f>ROUND(AVERAGE(H24:L24)*20,0)</x:f>
        <x:v>88</x:v>
      </x:c>
      <x:c r="N24" s="64" t="str">
        <x:v>卧龙—四姑娘山—理小路—毕棚沟连续不回头；住宿节点合理</x:v>
      </x:c>
      <x:c r="O24" s="64" t="str">
        <x:v>理小路开放状态、天气与高海拔适应必须核验</x:v>
      </x:c>
      <x:c r="P24" s="64" t="str">
        <x:v>作为3日熊猫+川西环线基准</x:v>
      </x:c>
      <x:c r="Q24" s="64" t="str">
        <x:v>本批最具可执行价值的川西样板之一</x:v>
      </x:c>
      <x:c r="R24" s="64" t="str">
        <x:v>/Users/nxyccjx/Desktop/入境游素材/四川样板行程/卧龙熊猫苑四姑娘山毕棚沟3D2N2300rmb:人.pdf</x:v>
      </x:c>
    </x:row>
    <x:row r="25" ht="21.600000381469727" hidden="0" customHeight="1">
      <x:c r="A25" s="65" t="n">
        <x:v>21</x:v>
      </x:c>
      <x:c r="B25" s="65" t="str">
        <x:v>九寨沟黄龙高铁往返3D2N.pdf</x:v>
      </x:c>
      <x:c r="C25" s="65" t="str">
        <x:v>四川</x:v>
      </x:c>
      <x:c r="D25" s="65" t="str">
        <x:v>3D2N</x:v>
      </x:c>
      <x:c r="E25" s="65" t="str">
        <x:v>九寨高铁短线</x:v>
      </x:c>
      <x:c r="F25" s="71" t="str">
        <x:v>B</x:v>
      </x:c>
      <x:c r="G25" s="71" t="str">
        <x:v>条件基准</x:v>
      </x:c>
      <x:c r="H25" s="65" t="n">
        <x:v>4</x:v>
      </x:c>
      <x:c r="I25" s="65" t="n">
        <x:v>4</x:v>
      </x:c>
      <x:c r="J25" s="65" t="n">
        <x:v>4</x:v>
      </x:c>
      <x:c r="K25" s="65" t="n">
        <x:v>3</x:v>
      </x:c>
      <x:c r="L25" s="65" t="n">
        <x:v>5</x:v>
      </x:c>
      <x:c r="M25" s="65" t="n">
        <x:f>ROUND(AVERAGE(H25:L25)*20,0)</x:f>
        <x:v>80</x:v>
      </x:c>
      <x:c r="N25" s="65" t="str">
        <x:v>高铁+黄龙+九寨结构紧凑且逻辑清楚；含车次异常替代说明</x:v>
      </x:c>
      <x:c r="O25" s="65" t="str">
        <x:v>首日高海拔活动依赖早班车与体力；返程日需锁定车次</x:v>
      </x:c>
      <x:c r="P25" s="65" t="str">
        <x:v>作为3日九寨短线基准，所有交通实时核验</x:v>
      </x:c>
      <x:c r="Q25" s="65" t="str">
        <x:v>适合时间有限且体力正常客群</x:v>
      </x:c>
      <x:c r="R25" s="65" t="str">
        <x:v>/Users/nxyccjx/Desktop/入境游素材/四川样板行程/九寨沟黄龙高铁往返3D2N.pdf</x:v>
      </x:c>
    </x:row>
  </x:sheetData>
  <x:mergeCells>
    <x:mergeCell ref="A1:R1"/>
    <x:mergeCell ref="A2:R2"/>
  </x:mergeCells>
  <x:dataValidations count="2">
    <x:dataValidation type="list" sqref="F5:F25">
      <x:formula1>"A,B,C,归档"</x:formula1>
    </x:dataValidation>
    <x:dataValidation type="list" sqref="G5:G25">
      <x:formula1>"推荐基准,条件基准,模块基准,局部参考,反例/条件参考,超出一期范围"</x:formula1>
    </x:dataValidation>
  </x:dataValidation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0" hidden="0" customWidth="1"/>
    <x:col min="2" max="2" width="24" hidden="0" customWidth="1"/>
    <x:col min="3" max="3" width="50" hidden="0" customWidth="1"/>
    <x:col min="4" max="4" width="10" hidden="0" customWidth="1"/>
    <x:col min="5" max="5" width="18" hidden="0" customWidth="1"/>
    <x:col min="6" max="6" width="24" hidden="0" customWidth="1"/>
    <x:col min="7" max="7" width="18" hidden="0" customWidth="1"/>
    <x:col min="8" max="8" width="10" hidden="0" customWidth="1"/>
    <x:col min="9" max="9" width="40" hidden="0" customWidth="1"/>
    <x:col min="10" max="10" width="16" hidden="0" customWidth="1"/>
  </x:cols>
  <x:sheetData>
    <x:row r="1" ht="32" hidden="0" customHeight="1">
      <x:c r="A1" s="3" t="str">
        <x:v>可复用线路模块</x:v>
      </x:c>
      <x:c r="B1" s="3"/>
      <x:c r="C1" s="3"/>
      <x:c r="D1" s="3"/>
      <x:c r="E1" s="3"/>
      <x:c r="F1" s="3"/>
      <x:c r="G1" s="3"/>
      <x:c r="H1" s="3"/>
      <x:c r="I1" s="3"/>
      <x:c r="J1" s="3"/>
    </x:row>
    <x:row r="2" ht="34" hidden="0" customHeight="1">
      <x:c r="A2" s="7" t="str">
        <x:v>只保存稳定的路线骨架；实时车程、预约、天气和道路状态必须在生成时再次检查。</x:v>
      </x:c>
      <x:c r="B2" s="7"/>
      <x:c r="C2" s="7"/>
      <x:c r="D2" s="7"/>
      <x:c r="E2" s="7"/>
      <x:c r="F2" s="7"/>
      <x:c r="G2" s="7"/>
      <x:c r="H2" s="7"/>
      <x:c r="I2" s="7"/>
      <x:c r="J2" s="7"/>
    </x:row>
    <x:row r="3"/>
    <x:row r="4" ht="34" hidden="0" customHeight="1">
      <x:c r="A4" s="53" t="str">
        <x:v>模块ID</x:v>
      </x:c>
      <x:c r="B4" s="54" t="str">
        <x:v>模块名称</x:v>
      </x:c>
      <x:c r="C4" s="54" t="str">
        <x:v>地点顺序</x:v>
      </x:c>
      <x:c r="D4" s="54" t="str">
        <x:v>建议用时</x:v>
      </x:c>
      <x:c r="E4" s="54" t="str">
        <x:v>建议住宿</x:v>
      </x:c>
      <x:c r="F4" s="54" t="str">
        <x:v>适合客群</x:v>
      </x:c>
      <x:c r="G4" s="54" t="str">
        <x:v>季节</x:v>
      </x:c>
      <x:c r="H4" s="54" t="str">
        <x:v>可信等级</x:v>
      </x:c>
      <x:c r="I4" s="54" t="str">
        <x:v>生成前核验</x:v>
      </x:c>
      <x:c r="J4" s="55" t="str">
        <x:v>来源ID</x:v>
      </x:c>
    </x:row>
    <x:row r="5" ht="15" hidden="0" customHeight="1">
      <x:c r="A5" s="63" t="str">
        <x:v>RB-01</x:v>
      </x:c>
      <x:c r="B5" s="63" t="str">
        <x:v>成都熊猫文化日</x:v>
      </x:c>
      <x:c r="C5" s="63" t="str">
        <x:v>成都酒店 → 成都大熊猫繁育研究基地 → 三星堆 → 成都酒店</x:v>
      </x:c>
      <x:c r="D5" s="63" t="str">
        <x:v>1日</x:v>
      </x:c>
      <x:c r="E5" s="63" t="str">
        <x:v>成都</x:v>
      </x:c>
      <x:c r="F5" s="63" t="str">
        <x:v>首次访客/亲子/文化兴趣</x:v>
      </x:c>
      <x:c r="G5" s="63" t="str">
        <x:v>全年</x:v>
      </x:c>
      <x:c r="H5" s="63" t="str">
        <x:v>A</x:v>
      </x:c>
      <x:c r="I5" s="63" t="str">
        <x:v>预约时段、闭馆日、早高峰</x:v>
      </x:c>
      <x:c r="J5" s="63" t="str">
        <x:v>9,10,15,1</x:v>
      </x:c>
    </x:row>
    <x:row r="6" ht="15" hidden="0" customHeight="1">
      <x:c r="A6" s="64" t="str">
        <x:v>RB-02</x:v>
      </x:c>
      <x:c r="B6" s="64" t="str">
        <x:v>成都历史文化日</x:v>
      </x:c>
      <x:c r="C6" s="64" t="str">
        <x:v>武侯祠 → 锦里 → 杜甫草堂 → 宽窄巷子</x:v>
      </x:c>
      <x:c r="D6" s="64" t="str">
        <x:v>1日</x:v>
      </x:c>
      <x:c r="E6" s="64" t="str">
        <x:v>成都</x:v>
      </x:c>
      <x:c r="F6" s="64" t="str">
        <x:v>首次访客/文化兴趣</x:v>
      </x:c>
      <x:c r="G6" s="64" t="str">
        <x:v>全年</x:v>
      </x:c>
      <x:c r="H6" s="64" t="str">
        <x:v>A</x:v>
      </x:c>
      <x:c r="I6" s="64" t="str">
        <x:v>按预约和客流调整，避免机械塞满</x:v>
      </x:c>
      <x:c r="J6" s="64" t="str">
        <x:v>9,15,4</x:v>
      </x:c>
    </x:row>
    <x:row r="7" ht="15" hidden="0" customHeight="1">
      <x:c r="A7" s="64" t="str">
        <x:v>RB-03</x:v>
      </x:c>
      <x:c r="B7" s="64" t="str">
        <x:v>都江堰古建夜景日</x:v>
      </x:c>
      <x:c r="C7" s="64" t="str">
        <x:v>成都 → 都江堰景区 → 南桥/灌县古城 → 都江堰或成都</x:v>
      </x:c>
      <x:c r="D7" s="64" t="str">
        <x:v>1日</x:v>
      </x:c>
      <x:c r="E7" s="64" t="str">
        <x:v>都江堰或成都</x:v>
      </x:c>
      <x:c r="F7" s="64" t="str">
        <x:v>首次访客/家庭</x:v>
      </x:c>
      <x:c r="G7" s="64" t="str">
        <x:v>全年</x:v>
      </x:c>
      <x:c r="H7" s="64" t="str">
        <x:v>A</x:v>
      </x:c>
      <x:c r="I7" s="64" t="str">
        <x:v>返成都时间、夜景开放情况</x:v>
      </x:c>
      <x:c r="J7" s="64" t="str">
        <x:v>15,16</x:v>
      </x:c>
    </x:row>
    <x:row r="8" ht="15" hidden="0" customHeight="1">
      <x:c r="A8" s="64" t="str">
        <x:v>RB-04</x:v>
      </x:c>
      <x:c r="B8" s="64" t="str">
        <x:v>成都至四姑娘山入山日</x:v>
      </x:c>
      <x:c r="C8" s="64" t="str">
        <x:v>成都 → 都江堰/映秀 → 猫鼻梁 → 四姑娘山镇</x:v>
      </x:c>
      <x:c r="D8" s="64" t="str">
        <x:v>1日</x:v>
      </x:c>
      <x:c r="E8" s="64" t="str">
        <x:v>四姑娘山镇</x:v>
      </x:c>
      <x:c r="F8" s="64" t="str">
        <x:v>正常体力</x:v>
      </x:c>
      <x:c r="G8" s="64" t="str">
        <x:v>全年，冬季谨慎</x:v>
      </x:c>
      <x:c r="H8" s="64" t="str">
        <x:v>A</x:v>
      </x:c>
      <x:c r="I8" s="64" t="str">
        <x:v>出发截止时间、道路天气、高反</x:v>
      </x:c>
      <x:c r="J8" s="64" t="str">
        <x:v>16,20</x:v>
      </x:c>
    </x:row>
    <x:row r="9" ht="15" hidden="0" customHeight="1">
      <x:c r="A9" s="64" t="str">
        <x:v>RB-05</x:v>
      </x:c>
      <x:c r="B9" s="64" t="str">
        <x:v>卧龙熊猫至四姑娘山</x:v>
      </x:c>
      <x:c r="C9" s="64" t="str">
        <x:v>成都 → 卧龙中华大熊猫苑 → 四姑娘山镇</x:v>
      </x:c>
      <x:c r="D9" s="64" t="str">
        <x:v>1日</x:v>
      </x:c>
      <x:c r="E9" s="64" t="str">
        <x:v>四姑娘山镇</x:v>
      </x:c>
      <x:c r="F9" s="64" t="str">
        <x:v>亲子/熊猫兴趣</x:v>
      </x:c>
      <x:c r="G9" s="64" t="str">
        <x:v>全年，冬季谨慎</x:v>
      </x:c>
      <x:c r="H9" s="64" t="str">
        <x:v>A</x:v>
      </x:c>
      <x:c r="I9" s="64" t="str">
        <x:v>熊猫苑开放、山路天气</x:v>
      </x:c>
      <x:c r="J9" s="64" t="str">
        <x:v>20</x:v>
      </x:c>
    </x:row>
    <x:row r="10" ht="15" hidden="0" customHeight="1">
      <x:c r="A10" s="64" t="str">
        <x:v>RB-06</x:v>
      </x:c>
      <x:c r="B10" s="64" t="str">
        <x:v>四姑娘山双桥沟日</x:v>
      </x:c>
      <x:c r="C10" s="64" t="str">
        <x:v>四姑娘山镇 → 双桥沟 → 四姑娘山镇或理县</x:v>
      </x:c>
      <x:c r="D10" s="64" t="str">
        <x:v>1日</x:v>
      </x:c>
      <x:c r="E10" s="64" t="str">
        <x:v>四姑娘山镇/理县</x:v>
      </x:c>
      <x:c r="F10" s="64" t="str">
        <x:v>首次川西/正常体力</x:v>
      </x:c>
      <x:c r="G10" s="64" t="str">
        <x:v>全年</x:v>
      </x:c>
      <x:c r="H10" s="64" t="str">
        <x:v>A</x:v>
      </x:c>
      <x:c r="I10" s="64" t="str">
        <x:v>景区观光车与游览时长</x:v>
      </x:c>
      <x:c r="J10" s="64" t="str">
        <x:v>6,7,16,18,20</x:v>
      </x:c>
    </x:row>
    <x:row r="11" ht="15" hidden="0" customHeight="1">
      <x:c r="A11" s="64" t="str">
        <x:v>RB-07</x:v>
      </x:c>
      <x:c r="B11" s="64" t="str">
        <x:v>理小路跨谷日</x:v>
      </x:c>
      <x:c r="C11" s="64" t="str">
        <x:v>四姑娘山镇 → 理小路 → 毕棚沟/古尔沟</x:v>
      </x:c>
      <x:c r="D11" s="64" t="str">
        <x:v>1日</x:v>
      </x:c>
      <x:c r="E11" s="64" t="str">
        <x:v>毕棚沟/古尔沟</x:v>
      </x:c>
      <x:c r="F11" s="64" t="str">
        <x:v>正常体力/摄影</x:v>
      </x:c>
      <x:c r="G11" s="64" t="str">
        <x:v>季节性</x:v>
      </x:c>
      <x:c r="H11" s="64" t="str">
        <x:v>B</x:v>
      </x:c>
      <x:c r="I11" s="64" t="str">
        <x:v>必须实时查询道路开放、限行与天气</x:v>
      </x:c>
      <x:c r="J11" s="64" t="str">
        <x:v>7,16,20</x:v>
      </x:c>
    </x:row>
    <x:row r="12" ht="15" hidden="0" customHeight="1">
      <x:c r="A12" s="64" t="str">
        <x:v>RB-08</x:v>
      </x:c>
      <x:c r="B12" s="64" t="str">
        <x:v>毕棚沟返成都日</x:v>
      </x:c>
      <x:c r="C12" s="64" t="str">
        <x:v>毕棚沟/古尔沟 → 毕棚沟景区 → 成都</x:v>
      </x:c>
      <x:c r="D12" s="64" t="str">
        <x:v>1日</x:v>
      </x:c>
      <x:c r="E12" s="64" t="str">
        <x:v>成都</x:v>
      </x:c>
      <x:c r="F12" s="64" t="str">
        <x:v>正常体力</x:v>
      </x:c>
      <x:c r="G12" s="64" t="str">
        <x:v>全年，冬季谨慎</x:v>
      </x:c>
      <x:c r="H12" s="64" t="str">
        <x:v>A</x:v>
      </x:c>
      <x:c r="I12" s="64" t="str">
        <x:v>返程堵车、景区离园截止时间</x:v>
      </x:c>
      <x:c r="J12" s="64" t="str">
        <x:v>7,16,18,20</x:v>
      </x:c>
    </x:row>
    <x:row r="13" ht="15" hidden="0" customHeight="1">
      <x:c r="A13" s="64" t="str">
        <x:v>RB-09</x:v>
      </x:c>
      <x:c r="B13" s="64" t="str">
        <x:v>高铁黄龙入九寨</x:v>
      </x:c>
      <x:c r="C13" s="64" t="str">
        <x:v>成都东 → 黄龙九寨站 → 黄龙景区 → 九寨沟口</x:v>
      </x:c>
      <x:c r="D13" s="64" t="str">
        <x:v>1日</x:v>
      </x:c>
      <x:c r="E13" s="64" t="str">
        <x:v>九寨沟口</x:v>
      </x:c>
      <x:c r="F13" s="64" t="str">
        <x:v>时间有限/正常体力</x:v>
      </x:c>
      <x:c r="G13" s="64" t="str">
        <x:v>黄龙开放季</x:v>
      </x:c>
      <x:c r="H13" s="64" t="str">
        <x:v>B</x:v>
      </x:c>
      <x:c r="I13" s="64" t="str">
        <x:v>锁定早班车、接驳、海拔适应、景区闭园</x:v>
      </x:c>
      <x:c r="J13" s="64" t="str">
        <x:v>1,3,10,21</x:v>
      </x:c>
    </x:row>
    <x:row r="14" ht="15" hidden="0" customHeight="1">
      <x:c r="A14" s="64" t="str">
        <x:v>RB-10</x:v>
      </x:c>
      <x:c r="B14" s="64" t="str">
        <x:v>九寨沟完整日</x:v>
      </x:c>
      <x:c r="C14" s="64" t="str">
        <x:v>九寨沟口 → 九寨沟景区全天 → 九寨沟口</x:v>
      </x:c>
      <x:c r="D14" s="64" t="str">
        <x:v>1日</x:v>
      </x:c>
      <x:c r="E14" s="64" t="str">
        <x:v>九寨沟口</x:v>
      </x:c>
      <x:c r="F14" s="64" t="str">
        <x:v>多数客群</x:v>
      </x:c>
      <x:c r="G14" s="64" t="str">
        <x:v>全年，以官方开放为准</x:v>
      </x:c>
      <x:c r="H14" s="64" t="str">
        <x:v>A</x:v>
      </x:c>
      <x:c r="I14" s="64" t="str">
        <x:v>门票预约、观光车、旺季客流</x:v>
      </x:c>
      <x:c r="J14" s="64" t="str">
        <x:v>1,2,3,10,11,12,14,19,21</x:v>
      </x:c>
    </x:row>
    <x:row r="15" ht="15" hidden="0" customHeight="1">
      <x:c r="A15" s="64" t="str">
        <x:v>RB-11</x:v>
      </x:c>
      <x:c r="B15" s="64" t="str">
        <x:v>黄龙返成都</x:v>
      </x:c>
      <x:c r="C15" s="64" t="str">
        <x:v>九寨沟口 → 黄龙景区 → 黄龙九寨站 → 成都东</x:v>
      </x:c>
      <x:c r="D15" s="64" t="str">
        <x:v>1日</x:v>
      </x:c>
      <x:c r="E15" s="64" t="str">
        <x:v>成都</x:v>
      </x:c>
      <x:c r="F15" s="64" t="str">
        <x:v>正常体力</x:v>
      </x:c>
      <x:c r="G15" s="64" t="str">
        <x:v>黄龙开放季</x:v>
      </x:c>
      <x:c r="H15" s="64" t="str">
        <x:v>B</x:v>
      </x:c>
      <x:c r="I15" s="64" t="str">
        <x:v>车次、接驳、游览时长必须倒排</x:v>
      </x:c>
      <x:c r="J15" s="64" t="str">
        <x:v>2,3,11,14,19,21</x:v>
      </x:c>
    </x:row>
    <x:row r="16" ht="15" hidden="0" customHeight="1">
      <x:c r="A16" s="64" t="str">
        <x:v>RB-12</x:v>
      </x:c>
      <x:c r="B16" s="64" t="str">
        <x:v>乐山至峨眉过夜</x:v>
      </x:c>
      <x:c r="C16" s="64" t="str">
        <x:v>成都 → 乐山大佛 → 苏稽古镇 → 峨眉山脚</x:v>
      </x:c>
      <x:c r="D16" s="64" t="str">
        <x:v>1日</x:v>
      </x:c>
      <x:c r="E16" s="64" t="str">
        <x:v>峨眉山脚</x:v>
      </x:c>
      <x:c r="F16" s="64" t="str">
        <x:v>文化/美食/家庭</x:v>
      </x:c>
      <x:c r="G16" s="64" t="str">
        <x:v>全年</x:v>
      </x:c>
      <x:c r="H16" s="64" t="str">
        <x:v>A</x:v>
      </x:c>
      <x:c r="I16" s="64" t="str">
        <x:v>乐山游船或登山二选一</x:v>
      </x:c>
      <x:c r="J16" s="64" t="str">
        <x:v>2</x:v>
      </x:c>
    </x:row>
    <x:row r="17" ht="15" hidden="0" customHeight="1">
      <x:c r="A17" s="64" t="str">
        <x:v>RB-13</x:v>
      </x:c>
      <x:c r="B17" s="64" t="str">
        <x:v>峨眉山返成都</x:v>
      </x:c>
      <x:c r="C17" s="64" t="str">
        <x:v>峨眉山景区 → 成都</x:v>
      </x:c>
      <x:c r="D17" s="64" t="str">
        <x:v>1日</x:v>
      </x:c>
      <x:c r="E17" s="64" t="str">
        <x:v>成都</x:v>
      </x:c>
      <x:c r="F17" s="64" t="str">
        <x:v>正常体力</x:v>
      </x:c>
      <x:c r="G17" s="64" t="str">
        <x:v>全年，冬季谨慎</x:v>
      </x:c>
      <x:c r="H17" s="64" t="str">
        <x:v>B</x:v>
      </x:c>
      <x:c r="I17" s="64" t="str">
        <x:v>金顶天气、索道排队、返程缓冲</x:v>
      </x:c>
      <x:c r="J17" s="64" t="str">
        <x:v>2</x:v>
      </x:c>
    </x:row>
    <x:row r="18" ht="15" hidden="0" customHeight="1">
      <x:c r="A18" s="65" t="str">
        <x:v>RB-14</x:v>
      </x:c>
      <x:c r="B18" s="65" t="str">
        <x:v>清真友好九寨出发日</x:v>
      </x:c>
      <x:c r="C18" s="65" t="str">
        <x:v>成都皇城清真寺/市区 → 成都东 → 黄龙九寨站 → 九寨沟口</x:v>
      </x:c>
      <x:c r="D18" s="65" t="str">
        <x:v>1日</x:v>
      </x:c>
      <x:c r="E18" s="65" t="str">
        <x:v>九寨沟口</x:v>
      </x:c>
      <x:c r="F18" s="65" t="str">
        <x:v>穆斯林游客</x:v>
      </x:c>
      <x:c r="G18" s="65" t="str">
        <x:v>全年</x:v>
      </x:c>
      <x:c r="H18" s="65" t="str">
        <x:v>B</x:v>
      </x:c>
      <x:c r="I18" s="65" t="str">
        <x:v>礼拜时间、清真餐、车次与接驳</x:v>
      </x:c>
      <x:c r="J18" s="65" t="str">
        <x:v>3</x:v>
      </x:c>
    </x:row>
  </x:sheetData>
  <x:mergeCells>
    <x:mergeCell ref="A1:J1"/>
    <x:mergeCell ref="A2:J2"/>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0" hidden="0" customWidth="1"/>
    <x:col min="2" max="2" width="28" hidden="0" customWidth="1"/>
    <x:col min="3" max="3" width="16" hidden="0" customWidth="1"/>
    <x:col min="4" max="4" width="18" hidden="0" customWidth="1"/>
    <x:col min="5" max="5" width="14" hidden="0" customWidth="1"/>
    <x:col min="6" max="6" width="22" hidden="0" customWidth="1"/>
    <x:col min="7" max="7" width="24" hidden="0" customWidth="1"/>
    <x:col min="8" max="8" width="38" hidden="0" customWidth="1"/>
    <x:col min="9" max="9" width="10" hidden="0" customWidth="1"/>
    <x:col min="10" max="10" width="18" hidden="0" customWidth="1"/>
  </x:cols>
  <x:sheetData>
    <x:row r="1" ht="32" hidden="0" customHeight="1">
      <x:c r="A1" s="3" t="str">
        <x:v>地点候选库</x:v>
      </x:c>
      <x:c r="B1" s="3"/>
      <x:c r="C1" s="3"/>
      <x:c r="D1" s="3"/>
      <x:c r="E1" s="3"/>
      <x:c r="F1" s="3"/>
      <x:c r="G1" s="3"/>
      <x:c r="H1" s="3"/>
      <x:c r="I1" s="3"/>
      <x:c r="J1" s="3"/>
    </x:row>
    <x:row r="2" ht="34" hidden="0" customHeight="1">
      <x:c r="A2" s="7" t="str">
        <x:v>这是第一轮地点候选，不是最终事实库。游览时长为规划预算，后续需与官方信息和实际执行经验校准。</x:v>
      </x:c>
      <x:c r="B2" s="7"/>
      <x:c r="C2" s="7"/>
      <x:c r="D2" s="7"/>
      <x:c r="E2" s="7"/>
      <x:c r="F2" s="7"/>
      <x:c r="G2" s="7"/>
      <x:c r="H2" s="7"/>
      <x:c r="I2" s="7"/>
      <x:c r="J2" s="7"/>
    </x:row>
    <x:row r="3"/>
    <x:row r="4" ht="34" hidden="0" customHeight="1">
      <x:c r="A4" s="53" t="str">
        <x:v>地点ID</x:v>
      </x:c>
      <x:c r="B4" s="54" t="str">
        <x:v>地点</x:v>
      </x:c>
      <x:c r="C4" s="54" t="str">
        <x:v>区域</x:v>
      </x:c>
      <x:c r="D4" s="54" t="str">
        <x:v>类型</x:v>
      </x:c>
      <x:c r="E4" s="54" t="str">
        <x:v>建议游览小时</x:v>
      </x:c>
      <x:c r="F4" s="54" t="str">
        <x:v>附近住宿节点</x:v>
      </x:c>
      <x:c r="G4" s="54" t="str">
        <x:v>适合客群</x:v>
      </x:c>
      <x:c r="H4" s="54" t="str">
        <x:v>关键限制</x:v>
      </x:c>
      <x:c r="I4" s="54" t="str">
        <x:v>可信等级</x:v>
      </x:c>
      <x:c r="J4" s="55" t="str">
        <x:v>来源ID</x:v>
      </x:c>
    </x:row>
    <x:row r="5" ht="15" hidden="0" customHeight="1">
      <x:c r="A5" s="63" t="str">
        <x:v>PL-001</x:v>
      </x:c>
      <x:c r="B5" s="63" t="str">
        <x:v>成都大熊猫繁育研究基地</x:v>
      </x:c>
      <x:c r="C5" s="63" t="str">
        <x:v>成都</x:v>
      </x:c>
      <x:c r="D5" s="63" t="str">
        <x:v>动物/城市景点</x:v>
      </x:c>
      <x:c r="E5" s="63" t="n">
        <x:v>3</x:v>
      </x:c>
      <x:c r="F5" s="63" t="str">
        <x:v>成都</x:v>
      </x:c>
      <x:c r="G5" s="63" t="str">
        <x:v>亲子、首次访客</x:v>
      </x:c>
      <x:c r="H5" s="63" t="str">
        <x:v>建议早到；预约制</x:v>
      </x:c>
      <x:c r="I5" s="63" t="str">
        <x:v>A</x:v>
      </x:c>
      <x:c r="J5" s="63" t="str">
        <x:v>1,2,4,6,8,9,10,12,15</x:v>
      </x:c>
    </x:row>
    <x:row r="6" ht="15" hidden="0" customHeight="1">
      <x:c r="A6" s="64" t="str">
        <x:v>PL-002</x:v>
      </x:c>
      <x:c r="B6" s="64" t="str">
        <x:v>三星堆博物馆</x:v>
      </x:c>
      <x:c r="C6" s="64" t="str">
        <x:v>广汉</x:v>
      </x:c>
      <x:c r="D6" s="64" t="str">
        <x:v>博物馆/文化</x:v>
      </x:c>
      <x:c r="E6" s="64" t="n">
        <x:v>3</x:v>
      </x:c>
      <x:c r="F6" s="64" t="str">
        <x:v>成都/广汉</x:v>
      </x:c>
      <x:c r="G6" s="64" t="str">
        <x:v>文化兴趣、首次访客</x:v>
      </x:c>
      <x:c r="H6" s="64" t="str">
        <x:v>闭馆日与预约时段</x:v>
      </x:c>
      <x:c r="I6" s="64" t="str">
        <x:v>A</x:v>
      </x:c>
      <x:c r="J6" s="64" t="str">
        <x:v>1,4,9,10,15</x:v>
      </x:c>
    </x:row>
    <x:row r="7" ht="15" hidden="0" customHeight="1">
      <x:c r="A7" s="64" t="str">
        <x:v>PL-003</x:v>
      </x:c>
      <x:c r="B7" s="64" t="str">
        <x:v>武侯祠</x:v>
      </x:c>
      <x:c r="C7" s="64" t="str">
        <x:v>成都</x:v>
      </x:c>
      <x:c r="D7" s="64" t="str">
        <x:v>历史文化</x:v>
      </x:c>
      <x:c r="E7" s="64" t="n">
        <x:v>2</x:v>
      </x:c>
      <x:c r="F7" s="64" t="str">
        <x:v>成都</x:v>
      </x:c>
      <x:c r="G7" s="64" t="str">
        <x:v>文化兴趣</x:v>
      </x:c>
      <x:c r="H7" s="64" t="str">
        <x:v>可与锦里连续安排</x:v>
      </x:c>
      <x:c r="I7" s="64" t="str">
        <x:v>A</x:v>
      </x:c>
      <x:c r="J7" s="64" t="str">
        <x:v>4,9,15</x:v>
      </x:c>
    </x:row>
    <x:row r="8" ht="15" hidden="0" customHeight="1">
      <x:c r="A8" s="64" t="str">
        <x:v>PL-004</x:v>
      </x:c>
      <x:c r="B8" s="64" t="str">
        <x:v>锦里</x:v>
      </x:c>
      <x:c r="C8" s="64" t="str">
        <x:v>成都</x:v>
      </x:c>
      <x:c r="D8" s="64" t="str">
        <x:v>街区/文化</x:v>
      </x:c>
      <x:c r="E8" s="64" t="n">
        <x:v>1.5</x:v>
      </x:c>
      <x:c r="F8" s="64" t="str">
        <x:v>成都</x:v>
      </x:c>
      <x:c r="G8" s="64" t="str">
        <x:v>首次访客</x:v>
      </x:c>
      <x:c r="H8" s="64" t="str">
        <x:v>商业化较强，可按兴趣缩短</x:v>
      </x:c>
      <x:c r="I8" s="64" t="str">
        <x:v>A</x:v>
      </x:c>
      <x:c r="J8" s="64" t="str">
        <x:v>4,9,15</x:v>
      </x:c>
    </x:row>
    <x:row r="9" ht="15" hidden="0" customHeight="1">
      <x:c r="A9" s="64" t="str">
        <x:v>PL-005</x:v>
      </x:c>
      <x:c r="B9" s="64" t="str">
        <x:v>杜甫草堂</x:v>
      </x:c>
      <x:c r="C9" s="64" t="str">
        <x:v>成都</x:v>
      </x:c>
      <x:c r="D9" s="64" t="str">
        <x:v>历史文化</x:v>
      </x:c>
      <x:c r="E9" s="64" t="n">
        <x:v>2</x:v>
      </x:c>
      <x:c r="F9" s="64" t="str">
        <x:v>成都</x:v>
      </x:c>
      <x:c r="G9" s="64" t="str">
        <x:v>文化兴趣</x:v>
      </x:c>
      <x:c r="H9" s="64" t="str">
        <x:v>与宽窄巷子方向较顺</x:v>
      </x:c>
      <x:c r="I9" s="64" t="str">
        <x:v>A</x:v>
      </x:c>
      <x:c r="J9" s="64" t="str">
        <x:v>4,9,15</x:v>
      </x:c>
    </x:row>
    <x:row r="10" ht="15" hidden="0" customHeight="1">
      <x:c r="A10" s="64" t="str">
        <x:v>PL-006</x:v>
      </x:c>
      <x:c r="B10" s="64" t="str">
        <x:v>宽窄巷子</x:v>
      </x:c>
      <x:c r="C10" s="64" t="str">
        <x:v>成都</x:v>
      </x:c>
      <x:c r="D10" s="64" t="str">
        <x:v>街区</x:v>
      </x:c>
      <x:c r="E10" s="64" t="n">
        <x:v>1.5</x:v>
      </x:c>
      <x:c r="F10" s="64" t="str">
        <x:v>成都</x:v>
      </x:c>
      <x:c r="G10" s="64" t="str">
        <x:v>首次访客</x:v>
      </x:c>
      <x:c r="H10" s="64" t="str">
        <x:v>客流高，非必选</x:v>
      </x:c>
      <x:c r="I10" s="64" t="str">
        <x:v>B</x:v>
      </x:c>
      <x:c r="J10" s="64" t="str">
        <x:v>9,15</x:v>
      </x:c>
    </x:row>
    <x:row r="11" ht="15" hidden="0" customHeight="1">
      <x:c r="A11" s="64" t="str">
        <x:v>PL-007</x:v>
      </x:c>
      <x:c r="B11" s="64" t="str">
        <x:v>皇城清真寺</x:v>
      </x:c>
      <x:c r="C11" s="64" t="str">
        <x:v>成都</x:v>
      </x:c>
      <x:c r="D11" s="64" t="str">
        <x:v>宗教/文化</x:v>
      </x:c>
      <x:c r="E11" s="64" t="n">
        <x:v>1</x:v>
      </x:c>
      <x:c r="F11" s="64" t="str">
        <x:v>成都</x:v>
      </x:c>
      <x:c r="G11" s="64" t="str">
        <x:v>穆斯林游客</x:v>
      </x:c>
      <x:c r="H11" s="64" t="str">
        <x:v>礼拜与开放时间需确认</x:v>
      </x:c>
      <x:c r="I11" s="64" t="str">
        <x:v>B</x:v>
      </x:c>
      <x:c r="J11" s="64" t="str">
        <x:v>3</x:v>
      </x:c>
    </x:row>
    <x:row r="12" ht="15" hidden="0" customHeight="1">
      <x:c r="A12" s="64" t="str">
        <x:v>PL-008</x:v>
      </x:c>
      <x:c r="B12" s="64" t="str">
        <x:v>都江堰景区</x:v>
      </x:c>
      <x:c r="C12" s="64" t="str">
        <x:v>都江堰</x:v>
      </x:c>
      <x:c r="D12" s="64" t="str">
        <x:v>世界遗产/水利</x:v>
      </x:c>
      <x:c r="E12" s="64" t="n">
        <x:v>4</x:v>
      </x:c>
      <x:c r="F12" s="64" t="str">
        <x:v>都江堰/成都</x:v>
      </x:c>
      <x:c r="G12" s="64" t="str">
        <x:v>家庭、文化兴趣</x:v>
      </x:c>
      <x:c r="H12" s="64" t="str">
        <x:v>步行量与返程时间</x:v>
      </x:c>
      <x:c r="I12" s="64" t="str">
        <x:v>A</x:v>
      </x:c>
      <x:c r="J12" s="64" t="str">
        <x:v>8,15,16</x:v>
      </x:c>
    </x:row>
    <x:row r="13" ht="15" hidden="0" customHeight="1">
      <x:c r="A13" s="64" t="str">
        <x:v>PL-009</x:v>
      </x:c>
      <x:c r="B13" s="64" t="str">
        <x:v>南桥/灌县古城</x:v>
      </x:c>
      <x:c r="C13" s="64" t="str">
        <x:v>都江堰</x:v>
      </x:c>
      <x:c r="D13" s="64" t="str">
        <x:v>夜景/街区</x:v>
      </x:c>
      <x:c r="E13" s="64" t="n">
        <x:v>2</x:v>
      </x:c>
      <x:c r="F13" s="64" t="str">
        <x:v>都江堰</x:v>
      </x:c>
      <x:c r="G13" s="64" t="str">
        <x:v>多数客群</x:v>
      </x:c>
      <x:c r="H13" s="64" t="str">
        <x:v>夜景开放与天气</x:v>
      </x:c>
      <x:c r="I13" s="64" t="str">
        <x:v>B</x:v>
      </x:c>
      <x:c r="J13" s="64" t="str">
        <x:v>15</x:v>
      </x:c>
    </x:row>
    <x:row r="14" ht="15" hidden="0" customHeight="1">
      <x:c r="A14" s="64" t="str">
        <x:v>PL-010</x:v>
      </x:c>
      <x:c r="B14" s="64" t="str">
        <x:v>卧龙中华大熊猫苑</x:v>
      </x:c>
      <x:c r="C14" s="64" t="str">
        <x:v>汶川卧龙</x:v>
      </x:c>
      <x:c r="D14" s="64" t="str">
        <x:v>动物/山地</x:v>
      </x:c>
      <x:c r="E14" s="64" t="n">
        <x:v>3</x:v>
      </x:c>
      <x:c r="F14" s="64" t="str">
        <x:v>四姑娘山镇/卧龙</x:v>
      </x:c>
      <x:c r="G14" s="64" t="str">
        <x:v>亲子、熊猫兴趣</x:v>
      </x:c>
      <x:c r="H14" s="64" t="str">
        <x:v>开放、道路与天气</x:v>
      </x:c>
      <x:c r="I14" s="64" t="str">
        <x:v>B</x:v>
      </x:c>
      <x:c r="J14" s="64" t="str">
        <x:v>20</x:v>
      </x:c>
    </x:row>
    <x:row r="15" ht="15" hidden="0" customHeight="1">
      <x:c r="A15" s="64" t="str">
        <x:v>PL-011</x:v>
      </x:c>
      <x:c r="B15" s="64" t="str">
        <x:v>猫鼻梁观景台</x:v>
      </x:c>
      <x:c r="C15" s="64" t="str">
        <x:v>四姑娘山</x:v>
      </x:c>
      <x:c r="D15" s="64" t="str">
        <x:v>观景点</x:v>
      </x:c>
      <x:c r="E15" s="64" t="n">
        <x:v>0.5</x:v>
      </x:c>
      <x:c r="F15" s="64" t="str">
        <x:v>四姑娘山镇</x:v>
      </x:c>
      <x:c r="G15" s="64" t="str">
        <x:v>摄影/首次川西</x:v>
      </x:c>
      <x:c r="H15" s="64" t="str">
        <x:v>天气决定能见度</x:v>
      </x:c>
      <x:c r="I15" s="64" t="str">
        <x:v>B</x:v>
      </x:c>
      <x:c r="J15" s="64" t="str">
        <x:v>6,16,18</x:v>
      </x:c>
    </x:row>
    <x:row r="16" ht="15" hidden="0" customHeight="1">
      <x:c r="A16" s="64" t="str">
        <x:v>PL-012</x:v>
      </x:c>
      <x:c r="B16" s="64" t="str">
        <x:v>双桥沟</x:v>
      </x:c>
      <x:c r="C16" s="64" t="str">
        <x:v>四姑娘山</x:v>
      </x:c>
      <x:c r="D16" s="64" t="str">
        <x:v>山地景区</x:v>
      </x:c>
      <x:c r="E16" s="64" t="n">
        <x:v>5</x:v>
      </x:c>
      <x:c r="F16" s="64" t="str">
        <x:v>四姑娘山镇</x:v>
      </x:c>
      <x:c r="G16" s="64" t="str">
        <x:v>首次川西、正常体力</x:v>
      </x:c>
      <x:c r="H16" s="64" t="str">
        <x:v>高海拔、观光车</x:v>
      </x:c>
      <x:c r="I16" s="64" t="str">
        <x:v>A</x:v>
      </x:c>
      <x:c r="J16" s="64" t="str">
        <x:v>6,7,16,18,20</x:v>
      </x:c>
    </x:row>
    <x:row r="17" ht="15" hidden="0" customHeight="1">
      <x:c r="A17" s="64" t="str">
        <x:v>PL-013</x:v>
      </x:c>
      <x:c r="B17" s="64" t="str">
        <x:v>长坪沟</x:v>
      </x:c>
      <x:c r="C17" s="64" t="str">
        <x:v>四姑娘山</x:v>
      </x:c>
      <x:c r="D17" s="64" t="str">
        <x:v>山地景区</x:v>
      </x:c>
      <x:c r="E17" s="64" t="n">
        <x:v>5</x:v>
      </x:c>
      <x:c r="F17" s="64" t="str">
        <x:v>四姑娘山镇</x:v>
      </x:c>
      <x:c r="G17" s="64" t="str">
        <x:v>徒步兴趣、正常体力</x:v>
      </x:c>
      <x:c r="H17" s="64" t="str">
        <x:v>体力要求高于双桥沟</x:v>
      </x:c>
      <x:c r="I17" s="64" t="str">
        <x:v>B</x:v>
      </x:c>
      <x:c r="J17" s="64" t="str">
        <x:v>7</x:v>
      </x:c>
    </x:row>
    <x:row r="18" ht="15" hidden="0" customHeight="1">
      <x:c r="A18" s="64" t="str">
        <x:v>PL-014</x:v>
      </x:c>
      <x:c r="B18" s="64" t="str">
        <x:v>理小路</x:v>
      </x:c>
      <x:c r="C18" s="64" t="str">
        <x:v>阿坝</x:v>
      </x:c>
      <x:c r="D18" s="64" t="str">
        <x:v>景观道路</x:v>
      </x:c>
      <x:c r="E18" s="64" t="n">
        <x:v>4</x:v>
      </x:c>
      <x:c r="F18" s="64" t="str">
        <x:v>四姑娘山镇/理县</x:v>
      </x:c>
      <x:c r="G18" s="64" t="str">
        <x:v>摄影、正常体力</x:v>
      </x:c>
      <x:c r="H18" s="64" t="str">
        <x:v>季节性开放，必须实时核验</x:v>
      </x:c>
      <x:c r="I18" s="64" t="str">
        <x:v>B</x:v>
      </x:c>
      <x:c r="J18" s="64" t="str">
        <x:v>7,16,20</x:v>
      </x:c>
    </x:row>
    <x:row r="19" ht="15" hidden="0" customHeight="1">
      <x:c r="A19" s="64" t="str">
        <x:v>PL-015</x:v>
      </x:c>
      <x:c r="B19" s="64" t="str">
        <x:v>毕棚沟</x:v>
      </x:c>
      <x:c r="C19" s="64" t="str">
        <x:v>理县</x:v>
      </x:c>
      <x:c r="D19" s="64" t="str">
        <x:v>山地景区</x:v>
      </x:c>
      <x:c r="E19" s="64" t="n">
        <x:v>5</x:v>
      </x:c>
      <x:c r="F19" s="64" t="str">
        <x:v>毕棚沟/古尔沟/成都</x:v>
      </x:c>
      <x:c r="G19" s="64" t="str">
        <x:v>正常体力</x:v>
      </x:c>
      <x:c r="H19" s="64" t="str">
        <x:v>天气、观光车、返程缓冲</x:v>
      </x:c>
      <x:c r="I19" s="64" t="str">
        <x:v>A</x:v>
      </x:c>
      <x:c r="J19" s="64" t="str">
        <x:v>7,11,16,18,20</x:v>
      </x:c>
    </x:row>
    <x:row r="20" ht="21.600000381469727" hidden="0" customHeight="1">
      <x:c r="A20" s="64" t="str">
        <x:v>PL-016</x:v>
      </x:c>
      <x:c r="B20" s="64" t="str">
        <x:v>九寨沟</x:v>
      </x:c>
      <x:c r="C20" s="64" t="str">
        <x:v>九寨沟县</x:v>
      </x:c>
      <x:c r="D20" s="64" t="str">
        <x:v>世界遗产/自然</x:v>
      </x:c>
      <x:c r="E20" s="64" t="n">
        <x:v>8</x:v>
      </x:c>
      <x:c r="F20" s="64" t="str">
        <x:v>九寨沟口</x:v>
      </x:c>
      <x:c r="G20" s="64" t="str">
        <x:v>多数客群</x:v>
      </x:c>
      <x:c r="H20" s="64" t="str">
        <x:v>必须留完整日；预约制</x:v>
      </x:c>
      <x:c r="I20" s="64" t="str">
        <x:v>A</x:v>
      </x:c>
      <x:c r="J20" s="64" t="str">
        <x:v>1,2,3,5,10,11,12,13,14,17,19,21</x:v>
      </x:c>
    </x:row>
    <x:row r="21" ht="15" hidden="0" customHeight="1">
      <x:c r="A21" s="64" t="str">
        <x:v>PL-017</x:v>
      </x:c>
      <x:c r="B21" s="64" t="str">
        <x:v>黄龙景区</x:v>
      </x:c>
      <x:c r="C21" s="64" t="str">
        <x:v>松潘</x:v>
      </x:c>
      <x:c r="D21" s="64" t="str">
        <x:v>世界遗产/高海拔</x:v>
      </x:c>
      <x:c r="E21" s="64" t="n">
        <x:v>4.5</x:v>
      </x:c>
      <x:c r="F21" s="64" t="str">
        <x:v>九寨沟口/成都</x:v>
      </x:c>
      <x:c r="G21" s="64" t="str">
        <x:v>正常体力</x:v>
      </x:c>
      <x:c r="H21" s="64" t="str">
        <x:v>高海拔、季节、索道与车次</x:v>
      </x:c>
      <x:c r="I21" s="64" t="str">
        <x:v>A</x:v>
      </x:c>
      <x:c r="J21" s="64" t="str">
        <x:v>1,2,3,5,10,11,13,14,17,19,21</x:v>
      </x:c>
    </x:row>
    <x:row r="22" ht="15" hidden="0" customHeight="1">
      <x:c r="A22" s="64" t="str">
        <x:v>PL-018</x:v>
      </x:c>
      <x:c r="B22" s="64" t="str">
        <x:v>松潘古城</x:v>
      </x:c>
      <x:c r="C22" s="64" t="str">
        <x:v>松潘</x:v>
      </x:c>
      <x:c r="D22" s="64" t="str">
        <x:v>历史街区</x:v>
      </x:c>
      <x:c r="E22" s="64" t="n">
        <x:v>2</x:v>
      </x:c>
      <x:c r="F22" s="64" t="str">
        <x:v>松潘/九寨沟口</x:v>
      </x:c>
      <x:c r="G22" s="64" t="str">
        <x:v>文化兴趣</x:v>
      </x:c>
      <x:c r="H22" s="64" t="str">
        <x:v>仅在交通顺路时加入</x:v>
      </x:c>
      <x:c r="I22" s="64" t="str">
        <x:v>B</x:v>
      </x:c>
      <x:c r="J22" s="64" t="str">
        <x:v>5,12,13,17</x:v>
      </x:c>
    </x:row>
    <x:row r="23" ht="15" hidden="0" customHeight="1">
      <x:c r="A23" s="64" t="str">
        <x:v>PL-019</x:v>
      </x:c>
      <x:c r="B23" s="64" t="str">
        <x:v>黄龙九寨站</x:v>
      </x:c>
      <x:c r="C23" s="64" t="str">
        <x:v>松潘</x:v>
      </x:c>
      <x:c r="D23" s="64" t="str">
        <x:v>交通枢纽</x:v>
      </x:c>
      <x:c r="E23" s="64" t="n">
        <x:v>1</x:v>
      </x:c>
      <x:c r="F23" s="64" t="str">
        <x:v>九寨沟口/成都</x:v>
      </x:c>
      <x:c r="G23" s="64" t="str">
        <x:v>所有高铁客群</x:v>
      </x:c>
      <x:c r="H23" s="64" t="str">
        <x:v>车次与接驳实时核验</x:v>
      </x:c>
      <x:c r="I23" s="64" t="str">
        <x:v>A</x:v>
      </x:c>
      <x:c r="J23" s="64" t="str">
        <x:v>1,2,3,6,10,12,14,21</x:v>
      </x:c>
    </x:row>
    <x:row r="24" ht="15" hidden="0" customHeight="1">
      <x:c r="A24" s="64" t="str">
        <x:v>PL-020</x:v>
      </x:c>
      <x:c r="B24" s="64" t="str">
        <x:v>乐山大佛</x:v>
      </x:c>
      <x:c r="C24" s="64" t="str">
        <x:v>乐山</x:v>
      </x:c>
      <x:c r="D24" s="64" t="str">
        <x:v>世界遗产/文化</x:v>
      </x:c>
      <x:c r="E24" s="64" t="n">
        <x:v>4</x:v>
      </x:c>
      <x:c r="F24" s="64" t="str">
        <x:v>乐山/峨眉</x:v>
      </x:c>
      <x:c r="G24" s="64" t="str">
        <x:v>多数客群</x:v>
      </x:c>
      <x:c r="H24" s="64" t="str">
        <x:v>游船或登山二选一</x:v>
      </x:c>
      <x:c r="I24" s="64" t="str">
        <x:v>A</x:v>
      </x:c>
      <x:c r="J24" s="64" t="str">
        <x:v>2</x:v>
      </x:c>
    </x:row>
    <x:row r="25" ht="15" hidden="0" customHeight="1">
      <x:c r="A25" s="64" t="str">
        <x:v>PL-021</x:v>
      </x:c>
      <x:c r="B25" s="64" t="str">
        <x:v>苏稽古镇</x:v>
      </x:c>
      <x:c r="C25" s="64" t="str">
        <x:v>乐山</x:v>
      </x:c>
      <x:c r="D25" s="64" t="str">
        <x:v>古镇/美食</x:v>
      </x:c>
      <x:c r="E25" s="64" t="n">
        <x:v>1.5</x:v>
      </x:c>
      <x:c r="F25" s="64" t="str">
        <x:v>峨眉/乐山</x:v>
      </x:c>
      <x:c r="G25" s="64" t="str">
        <x:v>美食兴趣</x:v>
      </x:c>
      <x:c r="H25" s="64" t="str">
        <x:v>可选，不应挤压大佛时间</x:v>
      </x:c>
      <x:c r="I25" s="64" t="str">
        <x:v>B</x:v>
      </x:c>
      <x:c r="J25" s="64" t="str">
        <x:v>2</x:v>
      </x:c>
    </x:row>
    <x:row r="26" ht="15" hidden="0" customHeight="1">
      <x:c r="A26" s="64" t="str">
        <x:v>PL-022</x:v>
      </x:c>
      <x:c r="B26" s="64" t="str">
        <x:v>峨眉山</x:v>
      </x:c>
      <x:c r="C26" s="64" t="str">
        <x:v>峨眉山</x:v>
      </x:c>
      <x:c r="D26" s="64" t="str">
        <x:v>世界遗产/山地</x:v>
      </x:c>
      <x:c r="E26" s="64" t="n">
        <x:v>7</x:v>
      </x:c>
      <x:c r="F26" s="64" t="str">
        <x:v>峨眉山/成都</x:v>
      </x:c>
      <x:c r="G26" s="64" t="str">
        <x:v>正常体力</x:v>
      </x:c>
      <x:c r="H26" s="64" t="str">
        <x:v>天气、索道排队、冬季结冰</x:v>
      </x:c>
      <x:c r="I26" s="64" t="str">
        <x:v>A</x:v>
      </x:c>
      <x:c r="J26" s="64" t="str">
        <x:v>2</x:v>
      </x:c>
    </x:row>
    <x:row r="27" ht="15" hidden="0" customHeight="1">
      <x:c r="A27" s="64" t="str">
        <x:v>PL-023</x:v>
      </x:c>
      <x:c r="B27" s="64" t="str">
        <x:v>川剧表演</x:v>
      </x:c>
      <x:c r="C27" s="64" t="str">
        <x:v>成都</x:v>
      </x:c>
      <x:c r="D27" s="64" t="str">
        <x:v>演出/文化</x:v>
      </x:c>
      <x:c r="E27" s="64" t="n">
        <x:v>1.5</x:v>
      </x:c>
      <x:c r="F27" s="64" t="str">
        <x:v>成都</x:v>
      </x:c>
      <x:c r="G27" s="64" t="str">
        <x:v>首次访客</x:v>
      </x:c>
      <x:c r="H27" s="64" t="str">
        <x:v>演出场次和座位需确认</x:v>
      </x:c>
      <x:c r="I27" s="64" t="str">
        <x:v>B</x:v>
      </x:c>
      <x:c r="J27" s="64" t="str">
        <x:v>1,2</x:v>
      </x:c>
    </x:row>
    <x:row r="28" ht="15" hidden="0" customHeight="1">
      <x:c r="A28" s="65" t="str">
        <x:v>PL-024</x:v>
      </x:c>
      <x:c r="B28" s="65" t="str">
        <x:v>藏族家访/藏寨体验</x:v>
      </x:c>
      <x:c r="C28" s="65" t="str">
        <x:v>阿坝</x:v>
      </x:c>
      <x:c r="D28" s="65" t="str">
        <x:v>社区体验</x:v>
      </x:c>
      <x:c r="E28" s="65" t="n">
        <x:v>2</x:v>
      </x:c>
      <x:c r="F28" s="65" t="str">
        <x:v>九寨沟口</x:v>
      </x:c>
      <x:c r="G28" s="65" t="str">
        <x:v>明确感兴趣客群</x:v>
      </x:c>
      <x:c r="H28" s="65" t="str">
        <x:v>真实性、购物、推销与自愿性必须说明</x:v>
      </x:c>
      <x:c r="I28" s="65" t="str">
        <x:v>C</x:v>
      </x:c>
      <x:c r="J28" s="65" t="str">
        <x:v>5,13,17</x:v>
      </x:c>
    </x:row>
  </x:sheetData>
  <x:mergeCells>
    <x:mergeCell ref="A1:J1"/>
    <x:mergeCell ref="A2:J2"/>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11" hidden="0" customWidth="1"/>
    <x:col min="2" max="2" width="22" hidden="0" customWidth="1"/>
    <x:col min="3" max="3" width="22" hidden="0" customWidth="1"/>
    <x:col min="4" max="4" width="16" hidden="0" customWidth="1"/>
    <x:col min="5" max="5" width="22" hidden="0" customWidth="1"/>
    <x:col min="6" max="6" width="22" hidden="0" customWidth="1"/>
    <x:col min="7" max="7" width="14" hidden="0" customWidth="1"/>
    <x:col min="8" max="8" width="42" hidden="0" customWidth="1"/>
  </x:cols>
  <x:sheetData>
    <x:row r="1" ht="32" hidden="0" customHeight="1">
      <x:c r="A1" s="3" t="str">
        <x:v>待核验交通段</x:v>
      </x:c>
      <x:c r="B1" s="3"/>
      <x:c r="C1" s="3"/>
      <x:c r="D1" s="3"/>
      <x:c r="E1" s="3"/>
      <x:c r="F1" s="3"/>
      <x:c r="G1" s="3"/>
      <x:c r="H1" s="3"/>
    </x:row>
    <x:row r="2" ht="34" hidden="0" customHeight="1">
      <x:c r="A2" s="7" t="str">
        <x:v>样板中的时间只作为线索。标记为“最高”的交通段应在每次生成时调用地图/官方时刻检查。</x:v>
      </x:c>
      <x:c r="B2" s="7"/>
      <x:c r="C2" s="7"/>
      <x:c r="D2" s="7"/>
      <x:c r="E2" s="7"/>
      <x:c r="F2" s="7"/>
      <x:c r="G2" s="7"/>
      <x:c r="H2" s="7"/>
    </x:row>
    <x:row r="3"/>
    <x:row r="4" ht="34" hidden="0" customHeight="1">
      <x:c r="A4" s="53" t="str">
        <x:v>交通段ID</x:v>
      </x:c>
      <x:c r="B4" s="54" t="str">
        <x:v>起点</x:v>
      </x:c>
      <x:c r="C4" s="54" t="str">
        <x:v>终点</x:v>
      </x:c>
      <x:c r="D4" s="54" t="str">
        <x:v>方式</x:v>
      </x:c>
      <x:c r="E4" s="54" t="str">
        <x:v>样板观察时间(小时)</x:v>
      </x:c>
      <x:c r="F4" s="54" t="str">
        <x:v>证据情况</x:v>
      </x:c>
      <x:c r="G4" s="54" t="str">
        <x:v>核验优先级</x:v>
      </x:c>
      <x:c r="H4" s="55" t="str">
        <x:v>核验重点</x:v>
      </x:c>
    </x:row>
    <x:row r="5" ht="15" hidden="0" customHeight="1">
      <x:c r="A5" s="63" t="str">
        <x:v>LG-01</x:v>
      </x:c>
      <x:c r="B5" s="63" t="str">
        <x:v>成都酒店</x:v>
      </x:c>
      <x:c r="C5" s="63" t="str">
        <x:v>成都熊猫基地</x:v>
      </x:c>
      <x:c r="D5" s="63" t="str">
        <x:v>公路</x:v>
      </x:c>
      <x:c r="E5" s="63" t="str">
        <x:v>0.5-1.0</x:v>
      </x:c>
      <x:c r="F5" s="63" t="str">
        <x:v>多份样板</x:v>
      </x:c>
      <x:c r="G5" s="63" t="str">
        <x:v>高</x:v>
      </x:c>
      <x:c r="H5" s="63" t="str">
        <x:v>早高峰与园区入口</x:v>
      </x:c>
    </x:row>
    <x:row r="6" ht="15" hidden="0" customHeight="1">
      <x:c r="A6" s="64" t="str">
        <x:v>LG-02</x:v>
      </x:c>
      <x:c r="B6" s="64" t="str">
        <x:v>成都熊猫基地</x:v>
      </x:c>
      <x:c r="C6" s="64" t="str">
        <x:v>三星堆</x:v>
      </x:c>
      <x:c r="D6" s="64" t="str">
        <x:v>公路</x:v>
      </x:c>
      <x:c r="E6" s="64" t="str">
        <x:v>1.0-2.0</x:v>
      </x:c>
      <x:c r="F6" s="64" t="str">
        <x:v>样板值差异较大</x:v>
      </x:c>
      <x:c r="G6" s="64" t="str">
        <x:v>高</x:v>
      </x:c>
      <x:c r="H6" s="64" t="str">
        <x:v>应按具体入口与时段查地图</x:v>
      </x:c>
    </x:row>
    <x:row r="7" ht="15" hidden="0" customHeight="1">
      <x:c r="A7" s="64" t="str">
        <x:v>LG-03</x:v>
      </x:c>
      <x:c r="B7" s="64" t="str">
        <x:v>三星堆</x:v>
      </x:c>
      <x:c r="C7" s="64" t="str">
        <x:v>成都酒店</x:v>
      </x:c>
      <x:c r="D7" s="64" t="str">
        <x:v>公路</x:v>
      </x:c>
      <x:c r="E7" s="64" t="str">
        <x:v>1.0-1.5</x:v>
      </x:c>
      <x:c r="F7" s="64" t="str">
        <x:v>多份样板</x:v>
      </x:c>
      <x:c r="G7" s="64" t="str">
        <x:v>中</x:v>
      </x:c>
      <x:c r="H7" s="64" t="str">
        <x:v>晚高峰</x:v>
      </x:c>
    </x:row>
    <x:row r="8" ht="15" hidden="0" customHeight="1">
      <x:c r="A8" s="64" t="str">
        <x:v>LG-04</x:v>
      </x:c>
      <x:c r="B8" s="64" t="str">
        <x:v>成都</x:v>
      </x:c>
      <x:c r="C8" s="64" t="str">
        <x:v>都江堰景区</x:v>
      </x:c>
      <x:c r="D8" s="64" t="str">
        <x:v>公路/高铁</x:v>
      </x:c>
      <x:c r="E8" s="64" t="str">
        <x:v>1.0-2.0</x:v>
      </x:c>
      <x:c r="F8" s="64" t="str">
        <x:v>样板多用公路</x:v>
      </x:c>
      <x:c r="G8" s="64" t="str">
        <x:v>中</x:v>
      </x:c>
      <x:c r="H8" s="64" t="str">
        <x:v>出发点与交通方式</x:v>
      </x:c>
    </x:row>
    <x:row r="9" ht="15" hidden="0" customHeight="1">
      <x:c r="A9" s="64" t="str">
        <x:v>LG-05</x:v>
      </x:c>
      <x:c r="B9" s="64" t="str">
        <x:v>成都</x:v>
      </x:c>
      <x:c r="C9" s="64" t="str">
        <x:v>卧龙熊猫苑</x:v>
      </x:c>
      <x:c r="D9" s="64" t="str">
        <x:v>公路</x:v>
      </x:c>
      <x:c r="E9" s="64" t="str">
        <x:v>2.0-3.0</x:v>
      </x:c>
      <x:c r="F9" s="64" t="str">
        <x:v>样板约2.5小时</x:v>
      </x:c>
      <x:c r="G9" s="64" t="str">
        <x:v>高</x:v>
      </x:c>
      <x:c r="H9" s="64" t="str">
        <x:v>山区天气与施工</x:v>
      </x:c>
    </x:row>
    <x:row r="10" ht="15" hidden="0" customHeight="1">
      <x:c r="A10" s="64" t="str">
        <x:v>LG-06</x:v>
      </x:c>
      <x:c r="B10" s="64" t="str">
        <x:v>成都/都江堰</x:v>
      </x:c>
      <x:c r="C10" s="64" t="str">
        <x:v>四姑娘山镇</x:v>
      </x:c>
      <x:c r="D10" s="64" t="str">
        <x:v>公路</x:v>
      </x:c>
      <x:c r="E10" s="64" t="str">
        <x:v>3.5-5.0</x:v>
      </x:c>
      <x:c r="F10" s="64" t="str">
        <x:v>样板差异明显</x:v>
      </x:c>
      <x:c r="G10" s="64" t="str">
        <x:v>高</x:v>
      </x:c>
      <x:c r="H10" s="64" t="str">
        <x:v>节假日、冬季、映秀段路况</x:v>
      </x:c>
    </x:row>
    <x:row r="11" ht="15" hidden="0" customHeight="1">
      <x:c r="A11" s="64" t="str">
        <x:v>LG-07</x:v>
      </x:c>
      <x:c r="B11" s="64" t="str">
        <x:v>四姑娘山镇</x:v>
      </x:c>
      <x:c r="C11" s="64" t="str">
        <x:v>毕棚沟/古尔沟</x:v>
      </x:c>
      <x:c r="D11" s="64" t="str">
        <x:v>理小路公路</x:v>
      </x:c>
      <x:c r="E11" s="64" t="str">
        <x:v>3.0-6.0</x:v>
      </x:c>
      <x:c r="F11" s="64" t="str">
        <x:v>样板混有游览时间</x:v>
      </x:c>
      <x:c r="G11" s="64" t="str">
        <x:v>最高</x:v>
      </x:c>
      <x:c r="H11" s="64" t="str">
        <x:v>实时开放、限行、落石与季节</x:v>
      </x:c>
    </x:row>
    <x:row r="12" ht="15" hidden="0" customHeight="1">
      <x:c r="A12" s="64" t="str">
        <x:v>LG-08</x:v>
      </x:c>
      <x:c r="B12" s="64" t="str">
        <x:v>毕棚沟/古尔沟</x:v>
      </x:c>
      <x:c r="C12" s="64" t="str">
        <x:v>成都</x:v>
      </x:c>
      <x:c r="D12" s="64" t="str">
        <x:v>公路</x:v>
      </x:c>
      <x:c r="E12" s="64" t="str">
        <x:v>3.5-5.5</x:v>
      </x:c>
      <x:c r="F12" s="64" t="str">
        <x:v>多份样板</x:v>
      </x:c>
      <x:c r="G12" s="64" t="str">
        <x:v>高</x:v>
      </x:c>
      <x:c r="H12" s="64" t="str">
        <x:v>返程拥堵与离园时间</x:v>
      </x:c>
    </x:row>
    <x:row r="13" ht="15" hidden="0" customHeight="1">
      <x:c r="A13" s="64" t="str">
        <x:v>LG-09</x:v>
      </x:c>
      <x:c r="B13" s="64" t="str">
        <x:v>毕棚沟</x:v>
      </x:c>
      <x:c r="C13" s="64" t="str">
        <x:v>九寨沟口</x:v>
      </x:c>
      <x:c r="D13" s="64" t="str">
        <x:v>公路</x:v>
      </x:c>
      <x:c r="E13" s="64" t="str">
        <x:v>样板称3.5小时，疑似偏乐观</x:v>
      </x:c>
      <x:c r="F13" s="64" t="str">
        <x:v>单一样板</x:v>
      </x:c>
      <x:c r="G13" s="64" t="str">
        <x:v>最高</x:v>
      </x:c>
      <x:c r="H13" s="64" t="str">
        <x:v>禁止直接采用，必须地图核验</x:v>
      </x:c>
    </x:row>
    <x:row r="14" ht="15" hidden="0" customHeight="1">
      <x:c r="A14" s="64" t="str">
        <x:v>LG-10</x:v>
      </x:c>
      <x:c r="B14" s="64" t="str">
        <x:v>成都东</x:v>
      </x:c>
      <x:c r="C14" s="64" t="str">
        <x:v>黄龙九寨站</x:v>
      </x:c>
      <x:c r="D14" s="64" t="str">
        <x:v>高铁</x:v>
      </x:c>
      <x:c r="E14" s="64" t="str">
        <x:v>约1.5-2.0</x:v>
      </x:c>
      <x:c r="F14" s="64" t="str">
        <x:v>多份样板</x:v>
      </x:c>
      <x:c r="G14" s="64" t="str">
        <x:v>最高</x:v>
      </x:c>
      <x:c r="H14" s="64" t="str">
        <x:v>以12306实际车次为准</x:v>
      </x:c>
    </x:row>
    <x:row r="15" ht="15" hidden="0" customHeight="1">
      <x:c r="A15" s="64" t="str">
        <x:v>LG-11</x:v>
      </x:c>
      <x:c r="B15" s="64" t="str">
        <x:v>黄龙九寨站</x:v>
      </x:c>
      <x:c r="C15" s="64" t="str">
        <x:v>黄龙景区</x:v>
      </x:c>
      <x:c r="D15" s="64" t="str">
        <x:v>接驳/包车</x:v>
      </x:c>
      <x:c r="E15" s="64" t="str">
        <x:v>约1.0</x:v>
      </x:c>
      <x:c r="F15" s="64" t="str">
        <x:v>多份样板</x:v>
      </x:c>
      <x:c r="G15" s="64" t="str">
        <x:v>最高</x:v>
      </x:c>
      <x:c r="H15" s="64" t="str">
        <x:v>道路、接驳班次、行李处理</x:v>
      </x:c>
    </x:row>
    <x:row r="16" ht="15" hidden="0" customHeight="1">
      <x:c r="A16" s="64" t="str">
        <x:v>LG-12</x:v>
      </x:c>
      <x:c r="B16" s="64" t="str">
        <x:v>黄龙九寨站</x:v>
      </x:c>
      <x:c r="C16" s="64" t="str">
        <x:v>九寨沟口</x:v>
      </x:c>
      <x:c r="D16" s="64" t="str">
        <x:v>接驳/包车</x:v>
      </x:c>
      <x:c r="E16" s="64" t="str">
        <x:v>1.5-2.5</x:v>
      </x:c>
      <x:c r="F16" s="64" t="str">
        <x:v>样板90-130公里不等</x:v>
      </x:c>
      <x:c r="G16" s="64" t="str">
        <x:v>最高</x:v>
      </x:c>
      <x:c r="H16" s="64" t="str">
        <x:v>以地图与当日路况为准</x:v>
      </x:c>
    </x:row>
    <x:row r="17" ht="15" hidden="0" customHeight="1">
      <x:c r="A17" s="64" t="str">
        <x:v>LG-13</x:v>
      </x:c>
      <x:c r="B17" s="64" t="str">
        <x:v>九寨沟口</x:v>
      </x:c>
      <x:c r="C17" s="64" t="str">
        <x:v>黄龙景区</x:v>
      </x:c>
      <x:c r="D17" s="64" t="str">
        <x:v>公路</x:v>
      </x:c>
      <x:c r="E17" s="64" t="str">
        <x:v>2.0-3.0</x:v>
      </x:c>
      <x:c r="F17" s="64" t="str">
        <x:v>多份样板</x:v>
      </x:c>
      <x:c r="G17" s="64" t="str">
        <x:v>最高</x:v>
      </x:c>
      <x:c r="H17" s="64" t="str">
        <x:v>高海拔、天气、旺季车流</x:v>
      </x:c>
    </x:row>
    <x:row r="18" ht="15" hidden="0" customHeight="1">
      <x:c r="A18" s="64" t="str">
        <x:v>LG-14</x:v>
      </x:c>
      <x:c r="B18" s="64" t="str">
        <x:v>成都</x:v>
      </x:c>
      <x:c r="C18" s="64" t="str">
        <x:v>乐山大佛</x:v>
      </x:c>
      <x:c r="D18" s="64" t="str">
        <x:v>公路/高铁</x:v>
      </x:c>
      <x:c r="E18" s="64" t="str">
        <x:v>1.5-2.5</x:v>
      </x:c>
      <x:c r="F18" s="64" t="str">
        <x:v>单一样板</x:v>
      </x:c>
      <x:c r="G18" s="64" t="str">
        <x:v>中</x:v>
      </x:c>
      <x:c r="H18" s="64" t="str">
        <x:v>所选交通与景区入口</x:v>
      </x:c>
    </x:row>
    <x:row r="19" ht="15" hidden="0" customHeight="1">
      <x:c r="A19" s="64" t="str">
        <x:v>LG-15</x:v>
      </x:c>
      <x:c r="B19" s="64" t="str">
        <x:v>乐山大佛</x:v>
      </x:c>
      <x:c r="C19" s="64" t="str">
        <x:v>峨眉山脚</x:v>
      </x:c>
      <x:c r="D19" s="64" t="str">
        <x:v>公路</x:v>
      </x:c>
      <x:c r="E19" s="64" t="str">
        <x:v>1.0-1.5</x:v>
      </x:c>
      <x:c r="F19" s="64" t="str">
        <x:v>单一样板</x:v>
      </x:c>
      <x:c r="G19" s="64" t="str">
        <x:v>中</x:v>
      </x:c>
      <x:c r="H19" s="64" t="str">
        <x:v>是否加入苏稽古镇</x:v>
      </x:c>
    </x:row>
    <x:row r="20" ht="15" hidden="0" customHeight="1">
      <x:c r="A20" s="65" t="str">
        <x:v>LG-16</x:v>
      </x:c>
      <x:c r="B20" s="65" t="str">
        <x:v>峨眉山</x:v>
      </x:c>
      <x:c r="C20" s="65" t="str">
        <x:v>成都</x:v>
      </x:c>
      <x:c r="D20" s="65" t="str">
        <x:v>公路/高铁</x:v>
      </x:c>
      <x:c r="E20" s="65" t="str">
        <x:v>2.0-3.0</x:v>
      </x:c>
      <x:c r="F20" s="65" t="str">
        <x:v>单一样板</x:v>
      </x:c>
      <x:c r="G20" s="65" t="str">
        <x:v>中</x:v>
      </x:c>
      <x:c r="H20" s="65" t="str">
        <x:v>下山时间与晚高峰</x:v>
      </x:c>
    </x:row>
  </x:sheetData>
  <x:mergeCells>
    <x:mergeCell ref="A1:H1"/>
    <x:mergeCell ref="A2:H2"/>
  </x:mergeCell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10" hidden="0" customWidth="1"/>
    <x:col min="2" max="2" width="28" hidden="0" customWidth="1"/>
    <x:col min="3" max="3" width="70" hidden="0" customWidth="1"/>
    <x:col min="4" max="4" width="12" hidden="0" customWidth="1"/>
    <x:col min="5" max="5" width="42" hidden="0" customWidth="1"/>
    <x:col min="6" max="6" width="12" hidden="0" customWidth="1"/>
  </x:cols>
  <x:sheetData>
    <x:row r="1" ht="32" hidden="0" customHeight="1">
      <x:c r="A1" s="3" t="str">
        <x:v>行程生成规则</x:v>
      </x:c>
      <x:c r="B1" s="3"/>
      <x:c r="C1" s="3"/>
      <x:c r="D1" s="3"/>
      <x:c r="E1" s="3"/>
      <x:c r="F1" s="3"/>
    </x:row>
    <x:row r="2" ht="34" hidden="0" customHeight="1">
      <x:c r="A2" s="7" t="str">
        <x:v>这些规则用于阻止AI把营销文案误当作可执行行程。硬规则未通过时，不应自动输出为正式草案。</x:v>
      </x:c>
      <x:c r="B2" s="7"/>
      <x:c r="C2" s="7"/>
      <x:c r="D2" s="7"/>
      <x:c r="E2" s="7"/>
      <x:c r="F2" s="7"/>
    </x:row>
    <x:row r="3"/>
    <x:row r="4" ht="34" hidden="0" customHeight="1">
      <x:c r="A4" s="53" t="str">
        <x:v>规则ID</x:v>
      </x:c>
      <x:c r="B4" s="54" t="str">
        <x:v>触发条件</x:v>
      </x:c>
      <x:c r="C4" s="54" t="str">
        <x:v>规则内容</x:v>
      </x:c>
      <x:c r="D4" s="54" t="str">
        <x:v>级别</x:v>
      </x:c>
      <x:c r="E4" s="54" t="str">
        <x:v>理由</x:v>
      </x:c>
      <x:c r="F4" s="55" t="str">
        <x:v>状态</x:v>
      </x:c>
    </x:row>
    <x:row r="5" ht="15" hidden="0" customHeight="1">
      <x:c r="A5" s="63" t="str">
        <x:v>R-001</x:v>
      </x:c>
      <x:c r="B5" s="63" t="str">
        <x:v>包含九寨沟</x:v>
      </x:c>
      <x:c r="C5" s="63" t="str">
        <x:v>至少安排1个完整游览日，完整日结束后默认继续住九寨沟口</x:v>
      </x:c>
      <x:c r="D5" s="63" t="str">
        <x:v>硬规则</x:v>
      </x:c>
      <x:c r="E5" s="63" t="str">
        <x:v>防止全天游后赶晚班车</x:v>
      </x:c>
      <x:c r="F5" s="63" t="str">
        <x:v>启用</x:v>
      </x:c>
    </x:row>
    <x:row r="6" ht="15" hidden="0" customHeight="1">
      <x:c r="A6" s="64" t="str">
        <x:v>R-002</x:v>
      </x:c>
      <x:c r="B6" s="64" t="str">
        <x:v>九寨沟完整日后返成都</x:v>
      </x:c>
      <x:c r="C6" s="64" t="str">
        <x:v>只有客户明确接受缩短游览且车次核验通过时才允许</x:v>
      </x:c>
      <x:c r="D6" s="64" t="str">
        <x:v>硬规则</x:v>
      </x:c>
      <x:c r="E6" s="64" t="str">
        <x:v>多份样板存在赶车风险</x:v>
      </x:c>
      <x:c r="F6" s="64" t="str">
        <x:v>启用</x:v>
      </x:c>
    </x:row>
    <x:row r="7" ht="15" hidden="0" customHeight="1">
      <x:c r="A7" s="64" t="str">
        <x:v>R-003</x:v>
      </x:c>
      <x:c r="B7" s="64" t="str">
        <x:v>黄龙+高铁同日</x:v>
      </x:c>
      <x:c r="C7" s="64" t="str">
        <x:v>必须锁定车次、接驳、闭园时间并倒排；否则拆日</x:v>
      </x:c>
      <x:c r="D7" s="64" t="str">
        <x:v>硬规则</x:v>
      </x:c>
      <x:c r="E7" s="64" t="str">
        <x:v>所有高铁九寨短线的关键依赖</x:v>
      </x:c>
      <x:c r="F7" s="64" t="str">
        <x:v>启用</x:v>
      </x:c>
    </x:row>
    <x:row r="8" ht="15" hidden="0" customHeight="1">
      <x:c r="A8" s="64" t="str">
        <x:v>R-004</x:v>
      </x:c>
      <x:c r="B8" s="64" t="str">
        <x:v>经过理小路</x:v>
      </x:c>
      <x:c r="C8" s="64" t="str">
        <x:v>生成前实时核验道路开放、限行、天气；无法核验则改走替代路线</x:v>
      </x:c>
      <x:c r="D8" s="64" t="str">
        <x:v>硬规则</x:v>
      </x:c>
      <x:c r="E8" s="64" t="str">
        <x:v>季节性道路，静态数据库不足</x:v>
      </x:c>
      <x:c r="F8" s="64" t="str">
        <x:v>启用</x:v>
      </x:c>
    </x:row>
    <x:row r="9" ht="15" hidden="0" customHeight="1">
      <x:c r="A9" s="64" t="str">
        <x:v>R-005</x:v>
      </x:c>
      <x:c r="B9" s="64" t="str">
        <x:v>包含川西高海拔景区</x:v>
      </x:c>
      <x:c r="C9" s="64" t="str">
        <x:v>提示高反、天气和体力要求；老人、幼儿默认降强度</x:v>
      </x:c>
      <x:c r="D9" s="64" t="str">
        <x:v>硬规则</x:v>
      </x:c>
      <x:c r="E9" s="64" t="str">
        <x:v>四姑娘山、黄龙等高海拔风险</x:v>
      </x:c>
      <x:c r="F9" s="64" t="str">
        <x:v>启用</x:v>
      </x:c>
    </x:row>
    <x:row r="10" ht="15" hidden="0" customHeight="1">
      <x:c r="A10" s="64" t="str">
        <x:v>R-006</x:v>
      </x:c>
      <x:c r="B10" s="64" t="str">
        <x:v>单日含一个4小时以上景区且转场超过3小时</x:v>
      </x:c>
      <x:c r="C10" s="64" t="str">
        <x:v>标记高强度，并要求人工确认或拆日</x:v>
      </x:c>
      <x:c r="D10" s="64" t="str">
        <x:v>硬规则</x:v>
      </x:c>
      <x:c r="E10" s="64" t="str">
        <x:v>避免看似丰富、实际全程赶路</x:v>
      </x:c>
      <x:c r="F10" s="64" t="str">
        <x:v>启用</x:v>
      </x:c>
    </x:row>
    <x:row r="11" ht="15" hidden="0" customHeight="1">
      <x:c r="A11" s="64" t="str">
        <x:v>R-007</x:v>
      </x:c>
      <x:c r="B11" s="64" t="str">
        <x:v>客户未提供航班/车次</x:v>
      </x:c>
      <x:c r="C11" s="64" t="str">
        <x:v>到达日和离开日不默认安排核心景点</x:v>
      </x:c>
      <x:c r="D11" s="64" t="str">
        <x:v>硬规则</x:v>
      </x:c>
      <x:c r="E11" s="64" t="str">
        <x:v>避免行程与交通冲突</x:v>
      </x:c>
      <x:c r="F11" s="64" t="str">
        <x:v>启用</x:v>
      </x:c>
    </x:row>
    <x:row r="12" ht="15" hidden="0" customHeight="1">
      <x:c r="A12" s="64" t="str">
        <x:v>R-008</x:v>
      </x:c>
      <x:c r="B12" s="64" t="str">
        <x:v>客户未要求自由活动</x:v>
      </x:c>
      <x:c r="C12" s="64" t="str">
        <x:v>不得生成整下午Free；应提供轻量活动或可选项</x:v>
      </x:c>
      <x:c r="D12" s="64" t="str">
        <x:v>软规则</x:v>
      </x:c>
      <x:c r="E12" s="64" t="str">
        <x:v>符合当前业务要求，同时保留弹性</x:v>
      </x:c>
      <x:c r="F12" s="64" t="str">
        <x:v>启用</x:v>
      </x:c>
    </x:row>
    <x:row r="13" ht="15" hidden="0" customHeight="1">
      <x:c r="A13" s="64" t="str">
        <x:v>R-009</x:v>
      </x:c>
      <x:c r="B13" s="64" t="str">
        <x:v>大巴跟团样板</x:v>
      </x:c>
      <x:c r="C13" s="64" t="str">
        <x:v>不得作为私家定制的时间预算基准</x:v>
      </x:c>
      <x:c r="D13" s="64" t="str">
        <x:v>硬规则</x:v>
      </x:c>
      <x:c r="E13" s="64" t="str">
        <x:v>团游早起长途和购物逻辑不同</x:v>
      </x:c>
      <x:c r="F13" s="64" t="str">
        <x:v>启用</x:v>
      </x:c>
    </x:row>
    <x:row r="14" ht="15" hidden="0" customHeight="1">
      <x:c r="A14" s="64" t="str">
        <x:v>R-010</x:v>
      </x:c>
      <x:c r="B14" s="64" t="str">
        <x:v>样板中的公里数/车程</x:v>
      </x:c>
      <x:c r="C14" s="64" t="str">
        <x:v>只作为线索，不直接入正式报价与时间轴；需地图或官方交通复核</x:v>
      </x:c>
      <x:c r="D14" s="64" t="str">
        <x:v>硬规则</x:v>
      </x:c>
      <x:c r="E14" s="64" t="str">
        <x:v>样板间存在明显冲突和乐观估计</x:v>
      </x:c>
      <x:c r="F14" s="64" t="str">
        <x:v>启用</x:v>
      </x:c>
    </x:row>
    <x:row r="15" ht="15" hidden="0" customHeight="1">
      <x:c r="A15" s="64" t="str">
        <x:v>R-011</x:v>
      </x:c>
      <x:c r="B15" s="64" t="str">
        <x:v>穆斯林客群</x:v>
      </x:c>
      <x:c r="C15" s="64" t="str">
        <x:v>餐厅、礼拜地点与时间逐单确认，不因样板出现过就自动承诺</x:v>
      </x:c>
      <x:c r="D15" s="64" t="str">
        <x:v>硬规则</x:v>
      </x:c>
      <x:c r="E15" s="64" t="str">
        <x:v>服务可靠性与宗教需求</x:v>
      </x:c>
      <x:c r="F15" s="64" t="str">
        <x:v>启用</x:v>
      </x:c>
    </x:row>
    <x:row r="16" ht="15" hidden="0" customHeight="1">
      <x:c r="A16" s="64" t="str">
        <x:v>R-012</x:v>
      </x:c>
      <x:c r="B16" s="64" t="str">
        <x:v>跨省或超出四川一期</x:v>
      </x:c>
      <x:c r="C16" s="64" t="str">
        <x:v>只提取四川模块，不进入四川完整线路生成池</x:v>
      </x:c>
      <x:c r="D16" s="64" t="str">
        <x:v>硬规则</x:v>
      </x:c>
      <x:c r="E16" s="64" t="str">
        <x:v>控制一期知识边界</x:v>
      </x:c>
      <x:c r="F16" s="64" t="str">
        <x:v>启用</x:v>
      </x:c>
    </x:row>
    <x:row r="17" ht="15" hidden="0" customHeight="1">
      <x:c r="A17" s="64" t="str">
        <x:v>R-013</x:v>
      </x:c>
      <x:c r="B17" s="64" t="str">
        <x:v>报价字段</x:v>
      </x:c>
      <x:c r="C17" s="64" t="str">
        <x:v>样板价格仅作为历史观察值，未录入供应商成本前不得用于正式报价</x:v>
      </x:c>
      <x:c r="D17" s="64" t="str">
        <x:v>硬规则</x:v>
      </x:c>
      <x:c r="E17" s="64" t="str">
        <x:v>防止旧价格或团价污染成本核算</x:v>
      </x:c>
      <x:c r="F17" s="64" t="str">
        <x:v>启用</x:v>
      </x:c>
    </x:row>
    <x:row r="18" ht="15" hidden="0" customHeight="1">
      <x:c r="A18" s="65" t="str">
        <x:v>R-014</x:v>
      </x:c>
      <x:c r="B18" s="65" t="str">
        <x:v>路线存在多种方向</x:v>
      </x:c>
      <x:c r="C18" s="65" t="str">
        <x:v>根据住宿、天气、道路与预约实时选择方向，不固定从成都每日往返</x:v>
      </x:c>
      <x:c r="D18" s="65" t="str">
        <x:v>硬规则</x:v>
      </x:c>
      <x:c r="E18" s="65" t="str">
        <x:v>支持四姑娘山—毕棚沟等连续行进</x:v>
      </x:c>
      <x:c r="F18" s="65" t="str">
        <x:v>启用</x:v>
      </x:c>
    </x:row>
  </x:sheetData>
  <x:mergeCells>
    <x:mergeCell ref="A1:F1"/>
    <x:mergeCell ref="A2:F2"/>
  </x:mergeCells>
  <x:dataValidations count="1">
    <x:dataValidation type="list" sqref="F5:F18">
      <x:formula1>"启用,暂停,待确认"</x:formula1>
    </x:dataValidation>
  </x:dataValidation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6" hidden="0" customWidth="1"/>
    <x:col min="2" max="2" width="42" hidden="0" customWidth="1"/>
    <x:col min="3" max="3" width="70" hidden="0" customWidth="1"/>
    <x:col min="4" max="4" width="16" hidden="0" customWidth="1"/>
    <x:col min="5" max="5" width="14" hidden="0" customWidth="1"/>
    <x:col min="6" max="6" width="14" hidden="0" customWidth="1"/>
    <x:col min="7" max="7" width="18" hidden="0" customWidth="1"/>
  </x:cols>
  <x:sheetData>
    <x:row r="1" ht="32" hidden="0" customHeight="1">
      <x:c r="A1" s="3" t="str">
        <x:v>来源索引</x:v>
      </x:c>
      <x:c r="B1" s="3"/>
      <x:c r="C1" s="3"/>
      <x:c r="D1" s="3"/>
      <x:c r="E1" s="3"/>
      <x:c r="F1" s="3"/>
      <x:c r="G1" s="3"/>
    </x:row>
    <x:row r="2" ht="34" hidden="0" customHeight="1">
      <x:c r="A2" s="7" t="str">
        <x:v>保留原始PDF路径，方便追溯。初审不修改原文件，也不迁移为正式知识库。</x:v>
      </x:c>
      <x:c r="B2" s="7"/>
      <x:c r="C2" s="7"/>
      <x:c r="D2" s="7"/>
      <x:c r="E2" s="7"/>
      <x:c r="F2" s="7"/>
      <x:c r="G2" s="7"/>
    </x:row>
    <x:row r="3"/>
    <x:row r="4" ht="34" hidden="0" customHeight="1">
      <x:c r="A4" s="53" t="str">
        <x:v>ID</x:v>
      </x:c>
      <x:c r="B4" s="54" t="str">
        <x:v>文件名</x:v>
      </x:c>
      <x:c r="C4" s="54" t="str">
        <x:v>原始路径</x:v>
      </x:c>
      <x:c r="D4" s="54" t="str">
        <x:v>提取状态</x:v>
      </x:c>
      <x:c r="E4" s="54" t="str">
        <x:v>初审日期</x:v>
      </x:c>
      <x:c r="F4" s="54" t="str">
        <x:v>初审人</x:v>
      </x:c>
      <x:c r="G4" s="55" t="str">
        <x:v>人工复核状态</x:v>
      </x:c>
    </x:row>
    <x:row r="5" ht="15" hidden="0" customHeight="1">
      <x:c r="A5" s="63" t="n">
        <x:v>1</x:v>
      </x:c>
      <x:c r="B5" s="63" t="str">
        <x:v>九寨黄龙熊猫基地三星堆川剧表演6D5N.pdf</x:v>
      </x:c>
      <x:c r="C5" s="63" t="str">
        <x:v>/Users/nxyccjx/Desktop/入境游素材/四川样板行程/九寨黄龙熊猫基地三星堆川剧表演6D5N.pdf</x:v>
      </x:c>
      <x:c r="D5" s="63" t="str">
        <x:v>PDF文字可提取</x:v>
      </x:c>
      <x:c r="E5" s="63" t="str">
        <x:v>2026-08-13</x:v>
      </x:c>
      <x:c r="F5" s="63" t="str">
        <x:v>Codex初审</x:v>
      </x:c>
      <x:c r="G5" s="63" t="str">
        <x:v>待人工复核</x:v>
      </x:c>
    </x:row>
    <x:row r="6" ht="15" hidden="0" customHeight="1">
      <x:c r="A6" s="64" t="n">
        <x:v>2</x:v>
      </x:c>
      <x:c r="B6" s="64" t="str">
        <x:v>熊猫基地乐山峨眉山九寨黄龙川剧7D6N4600rmb:人.pdf</x:v>
      </x:c>
      <x:c r="C6" s="64" t="str">
        <x:v>/Users/nxyccjx/Desktop/入境游素材/四川样板行程/熊猫基地乐山峨眉山九寨黄龙川剧7D6N4600rmb:人.pdf</x:v>
      </x:c>
      <x:c r="D6" s="64" t="str">
        <x:v>PDF文字可提取</x:v>
      </x:c>
      <x:c r="E6" s="64" t="str">
        <x:v>2026-08-13</x:v>
      </x:c>
      <x:c r="F6" s="64" t="str">
        <x:v>Codex初审</x:v>
      </x:c>
      <x:c r="G6" s="64" t="str">
        <x:v>待人工复核</x:v>
      </x:c>
    </x:row>
    <x:row r="7" ht="15" hidden="0" customHeight="1">
      <x:c r="A7" s="64" t="n">
        <x:v>3</x:v>
      </x:c>
      <x:c r="B7" s="64" t="str">
        <x:v>成都九寨黄龙皇城清真寺5D4N2500rmb:人.pdf</x:v>
      </x:c>
      <x:c r="C7" s="64" t="str">
        <x:v>/Users/nxyccjx/Desktop/入境游素材/四川样板行程/成都九寨黄龙皇城清真寺5D4N2500rmb:人.pdf</x:v>
      </x:c>
      <x:c r="D7" s="64" t="str">
        <x:v>PDF文字可提取</x:v>
      </x:c>
      <x:c r="E7" s="64" t="str">
        <x:v>2026-08-13</x:v>
      </x:c>
      <x:c r="F7" s="64" t="str">
        <x:v>Codex初审</x:v>
      </x:c>
      <x:c r="G7" s="64" t="str">
        <x:v>待人工复核</x:v>
      </x:c>
    </x:row>
    <x:row r="8" ht="21.600000381469727" hidden="0" customHeight="1">
      <x:c r="A8" s="64" t="n">
        <x:v>4</x:v>
      </x:c>
      <x:c r="B8" s="64" t="str">
        <x:v>川渝双城三星堆熊猫基地杜甫草堂武侯祠锦里重庆解放碑长江索道李子坝磁器口6D5N3200rmb:人.pdf</x:v>
      </x:c>
      <x:c r="C8" s="64" t="str">
        <x:v>/Users/nxyccjx/Desktop/入境游素材/四川样板行程/川渝双城三星堆熊猫基地杜甫草堂武侯祠锦里重庆解放碑长江索道李子坝磁器口6D5N3200rmb:人.pdf</x:v>
      </x:c>
      <x:c r="D8" s="64" t="str">
        <x:v>PDF文字可提取</x:v>
      </x:c>
      <x:c r="E8" s="64" t="str">
        <x:v>2026-08-13</x:v>
      </x:c>
      <x:c r="F8" s="64" t="str">
        <x:v>Codex初审</x:v>
      </x:c>
      <x:c r="G8" s="64" t="str">
        <x:v>待人工复核</x:v>
      </x:c>
    </x:row>
    <x:row r="9" ht="15" hidden="0" customHeight="1">
      <x:c r="A9" s="64" t="n">
        <x:v>5</x:v>
      </x:c>
      <x:c r="B9" s="64" t="str">
        <x:v>九寨黄龙熊猫藏寨大巴跟团3D2N.pdf</x:v>
      </x:c>
      <x:c r="C9" s="64" t="str">
        <x:v>/Users/nxyccjx/Desktop/入境游素材/四川样板行程/九寨黄龙熊猫藏寨大巴跟团3D2N.pdf</x:v>
      </x:c>
      <x:c r="D9" s="64" t="str">
        <x:v>PDF文字可提取</x:v>
      </x:c>
      <x:c r="E9" s="64" t="str">
        <x:v>2026-08-13</x:v>
      </x:c>
      <x:c r="F9" s="64" t="str">
        <x:v>Codex初审</x:v>
      </x:c>
      <x:c r="G9" s="64" t="str">
        <x:v>待人工复核</x:v>
      </x:c>
    </x:row>
    <x:row r="10" ht="15" hidden="0" customHeight="1">
      <x:c r="A10" s="64" t="n">
        <x:v>6</x:v>
      </x:c>
      <x:c r="B10" s="64" t="str">
        <x:v>成都四姑娘山高铁往返九寨4D3N.pdf</x:v>
      </x:c>
      <x:c r="C10" s="64" t="str">
        <x:v>/Users/nxyccjx/Desktop/入境游素材/四川样板行程/成都四姑娘山高铁往返九寨4D3N.pdf</x:v>
      </x:c>
      <x:c r="D10" s="64" t="str">
        <x:v>PDF文字可提取</x:v>
      </x:c>
      <x:c r="E10" s="64" t="str">
        <x:v>2026-08-13</x:v>
      </x:c>
      <x:c r="F10" s="64" t="str">
        <x:v>Codex初审</x:v>
      </x:c>
      <x:c r="G10" s="64" t="str">
        <x:v>待人工复核</x:v>
      </x:c>
    </x:row>
    <x:row r="11" ht="15" hidden="0" customHeight="1">
      <x:c r="A11" s="64" t="n">
        <x:v>7</x:v>
      </x:c>
      <x:c r="B11" s="64" t="str">
        <x:v>四姑娘山毕棚沟理小路3D2N2300rmb:ren.pdf</x:v>
      </x:c>
      <x:c r="C11" s="64" t="str">
        <x:v>/Users/nxyccjx/Desktop/入境游素材/四川样板行程/四姑娘山毕棚沟理小路3D2N2300rmb:ren.pdf</x:v>
      </x:c>
      <x:c r="D11" s="64" t="str">
        <x:v>PDF文字可提取</x:v>
      </x:c>
      <x:c r="E11" s="64" t="str">
        <x:v>2026-08-13</x:v>
      </x:c>
      <x:c r="F11" s="64" t="str">
        <x:v>Codex初审</x:v>
      </x:c>
      <x:c r="G11" s="64" t="str">
        <x:v>待人工复核</x:v>
      </x:c>
    </x:row>
    <x:row r="12" ht="15" hidden="0" customHeight="1">
      <x:c r="A12" s="64" t="n">
        <x:v>8</x:v>
      </x:c>
      <x:c r="B12" s="64" t="str">
        <x:v>川渝双城经典线路5D4N3100rmb:人.pdf</x:v>
      </x:c>
      <x:c r="C12" s="64" t="str">
        <x:v>/Users/nxyccjx/Desktop/入境游素材/四川样板行程/川渝双城经典线路5D4N3100rmb:人.pdf</x:v>
      </x:c>
      <x:c r="D12" s="64" t="str">
        <x:v>PDF文字可提取</x:v>
      </x:c>
      <x:c r="E12" s="64" t="str">
        <x:v>2026-08-13</x:v>
      </x:c>
      <x:c r="F12" s="64" t="str">
        <x:v>Codex初审</x:v>
      </x:c>
      <x:c r="G12" s="64" t="str">
        <x:v>待人工复核</x:v>
      </x:c>
    </x:row>
    <x:row r="13" ht="15" hidden="0" customHeight="1">
      <x:c r="A13" s="64" t="n">
        <x:v>9</x:v>
      </x:c>
      <x:c r="B13" s="64" t="str">
        <x:v>熊猫三星堆成都市区景点4D3N1900rmb:人.pdf</x:v>
      </x:c>
      <x:c r="C13" s="64" t="str">
        <x:v>/Users/nxyccjx/Desktop/入境游素材/四川样板行程/熊猫三星堆成都市区景点4D3N1900rmb:人.pdf</x:v>
      </x:c>
      <x:c r="D13" s="64" t="str">
        <x:v>PDF文字可提取</x:v>
      </x:c>
      <x:c r="E13" s="64" t="str">
        <x:v>2026-08-13</x:v>
      </x:c>
      <x:c r="F13" s="64" t="str">
        <x:v>Codex初审</x:v>
      </x:c>
      <x:c r="G13" s="64" t="str">
        <x:v>待人工复核</x:v>
      </x:c>
    </x:row>
    <x:row r="14" ht="15" hidden="0" customHeight="1">
      <x:c r="A14" s="64" t="n">
        <x:v>10</x:v>
      </x:c>
      <x:c r="B14" s="64" t="str">
        <x:v>成都九寨沟三星堆熊猫基地5D4N.pdf</x:v>
      </x:c>
      <x:c r="C14" s="64" t="str">
        <x:v>/Users/nxyccjx/Desktop/入境游素材/四川样板行程/成都九寨沟三星堆熊猫基地5D4N.pdf</x:v>
      </x:c>
      <x:c r="D14" s="64" t="str">
        <x:v>PDF文字可提取</x:v>
      </x:c>
      <x:c r="E14" s="64" t="str">
        <x:v>2026-08-13</x:v>
      </x:c>
      <x:c r="F14" s="64" t="str">
        <x:v>Codex初审</x:v>
      </x:c>
      <x:c r="G14" s="64" t="str">
        <x:v>待人工复核</x:v>
      </x:c>
    </x:row>
    <x:row r="15" ht="15" hidden="0" customHeight="1">
      <x:c r="A15" s="64" t="n">
        <x:v>11</x:v>
      </x:c>
      <x:c r="B15" s="64" t="str">
        <x:v>九寨黄龙四姑娘山毕棚沟成都市区景点6D5N.pdf</x:v>
      </x:c>
      <x:c r="C15" s="64" t="str">
        <x:v>/Users/nxyccjx/Desktop/入境游素材/四川样板行程/九寨黄龙四姑娘山毕棚沟成都市区景点6D5N.pdf</x:v>
      </x:c>
      <x:c r="D15" s="64" t="str">
        <x:v>PDF文字可提取</x:v>
      </x:c>
      <x:c r="E15" s="64" t="str">
        <x:v>2026-08-13</x:v>
      </x:c>
      <x:c r="F15" s="64" t="str">
        <x:v>Codex初审</x:v>
      </x:c>
      <x:c r="G15" s="64" t="str">
        <x:v>待人工复核</x:v>
      </x:c>
    </x:row>
    <x:row r="16" ht="15" hidden="0" customHeight="1">
      <x:c r="A16" s="64" t="n">
        <x:v>12</x:v>
      </x:c>
      <x:c r="B16" s="64" t="str">
        <x:v>九寨松潘古城熊猫基地高铁往返3D2N-行程一般.pdf</x:v>
      </x:c>
      <x:c r="C16" s="64" t="str">
        <x:v>/Users/nxyccjx/Desktop/入境游素材/四川样板行程/九寨松潘古城熊猫基地高铁往返3D2N-行程一般.pdf</x:v>
      </x:c>
      <x:c r="D16" s="64" t="str">
        <x:v>PDF文字可提取</x:v>
      </x:c>
      <x:c r="E16" s="64" t="str">
        <x:v>2026-08-13</x:v>
      </x:c>
      <x:c r="F16" s="64" t="str">
        <x:v>Codex初审</x:v>
      </x:c>
      <x:c r="G16" s="64" t="str">
        <x:v>待人工复核</x:v>
      </x:c>
    </x:row>
    <x:row r="17" ht="15" hidden="0" customHeight="1">
      <x:c r="A17" s="64" t="n">
        <x:v>13</x:v>
      </x:c>
      <x:c r="B17" s="64" t="str">
        <x:v>九寨黄龙藏族家访3D2N.pdf</x:v>
      </x:c>
      <x:c r="C17" s="64" t="str">
        <x:v>/Users/nxyccjx/Desktop/入境游素材/四川样板行程/九寨黄龙藏族家访3D2N.pdf</x:v>
      </x:c>
      <x:c r="D17" s="64" t="str">
        <x:v>PDF文字可提取</x:v>
      </x:c>
      <x:c r="E17" s="64" t="str">
        <x:v>2026-08-13</x:v>
      </x:c>
      <x:c r="F17" s="64" t="str">
        <x:v>Codex初审</x:v>
      </x:c>
      <x:c r="G17" s="64" t="str">
        <x:v>待人工复核</x:v>
      </x:c>
    </x:row>
    <x:row r="18" ht="15" hidden="0" customHeight="1">
      <x:c r="A18" s="64" t="n">
        <x:v>14</x:v>
      </x:c>
      <x:c r="B18" s="64" t="str">
        <x:v>川渝双城市区景点九寨黄龙北山石刻10D9N6300rmb:人.pdf</x:v>
      </x:c>
      <x:c r="C18" s="64" t="str">
        <x:v>/Users/nxyccjx/Desktop/入境游素材/四川样板行程/川渝双城市区景点九寨黄龙北山石刻10D9N6300rmb:人.pdf</x:v>
      </x:c>
      <x:c r="D18" s="64" t="str">
        <x:v>PDF文字可提取</x:v>
      </x:c>
      <x:c r="E18" s="64" t="str">
        <x:v>2026-08-13</x:v>
      </x:c>
      <x:c r="F18" s="64" t="str">
        <x:v>Codex初审</x:v>
      </x:c>
      <x:c r="G18" s="64" t="str">
        <x:v>待人工复核</x:v>
      </x:c>
    </x:row>
    <x:row r="19" ht="15" hidden="0" customHeight="1">
      <x:c r="A19" s="64" t="n">
        <x:v>15</x:v>
      </x:c>
      <x:c r="B19" s="64" t="str">
        <x:v>熊猫基地三星堆都江堰南侨成都市区景点3D2N1950rmb:人.pdf</x:v>
      </x:c>
      <x:c r="C19" s="64" t="str">
        <x:v>/Users/nxyccjx/Desktop/入境游素材/四川样板行程/熊猫基地三星堆都江堰南侨成都市区景点3D2N1950rmb:人.pdf</x:v>
      </x:c>
      <x:c r="D19" s="64" t="str">
        <x:v>PDF文字可提取</x:v>
      </x:c>
      <x:c r="E19" s="64" t="str">
        <x:v>2026-08-13</x:v>
      </x:c>
      <x:c r="F19" s="64" t="str">
        <x:v>Codex初审</x:v>
      </x:c>
      <x:c r="G19" s="64" t="str">
        <x:v>待人工复核</x:v>
      </x:c>
    </x:row>
    <x:row r="20" ht="15" hidden="0" customHeight="1">
      <x:c r="A20" s="64" t="n">
        <x:v>16</x:v>
      </x:c>
      <x:c r="B20" s="64" t="str">
        <x:v>都江堰四姑娘山毕棚沟私人包团3D2N2500rmb:人.pdf</x:v>
      </x:c>
      <x:c r="C20" s="64" t="str">
        <x:v>/Users/nxyccjx/Desktop/入境游素材/四川样板行程/都江堰四姑娘山毕棚沟私人包团3D2N2500rmb:人.pdf</x:v>
      </x:c>
      <x:c r="D20" s="64" t="str">
        <x:v>PDF文字可提取</x:v>
      </x:c>
      <x:c r="E20" s="64" t="str">
        <x:v>2026-08-13</x:v>
      </x:c>
      <x:c r="F20" s="64" t="str">
        <x:v>Codex初审</x:v>
      </x:c>
      <x:c r="G20" s="64" t="str">
        <x:v>待人工复核</x:v>
      </x:c>
    </x:row>
    <x:row r="21" ht="15" hidden="0" customHeight="1">
      <x:c r="A21" s="64" t="n">
        <x:v>17</x:v>
      </x:c>
      <x:c r="B21" s="64" t="str">
        <x:v>九寨黄龙熊猫藏族家访大巴跟团.pdf</x:v>
      </x:c>
      <x:c r="C21" s="64" t="str">
        <x:v>/Users/nxyccjx/Desktop/入境游素材/四川样板行程/九寨黄龙熊猫藏族家访大巴跟团.pdf</x:v>
      </x:c>
      <x:c r="D21" s="64" t="str">
        <x:v>PDF文字可提取</x:v>
      </x:c>
      <x:c r="E21" s="64" t="str">
        <x:v>2026-08-13</x:v>
      </x:c>
      <x:c r="F21" s="64" t="str">
        <x:v>Codex初审</x:v>
      </x:c>
      <x:c r="G21" s="64" t="str">
        <x:v>待人工复核</x:v>
      </x:c>
    </x:row>
    <x:row r="22" ht="15" hidden="0" customHeight="1">
      <x:c r="A22" s="64" t="n">
        <x:v>18</x:v>
      </x:c>
      <x:c r="B22" s="64" t="str">
        <x:v>四姑娘山+毕棚沟2D1N1850rmb:人.pdf</x:v>
      </x:c>
      <x:c r="C22" s="64" t="str">
        <x:v>/Users/nxyccjx/Desktop/入境游素材/四川样板行程/四姑娘山+毕棚沟2D1N1850rmb:人.pdf</x:v>
      </x:c>
      <x:c r="D22" s="64" t="str">
        <x:v>PDF文字可提取</x:v>
      </x:c>
      <x:c r="E22" s="64" t="str">
        <x:v>2026-08-13</x:v>
      </x:c>
      <x:c r="F22" s="64" t="str">
        <x:v>Codex初审</x:v>
      </x:c>
      <x:c r="G22" s="64" t="str">
        <x:v>待人工复核</x:v>
      </x:c>
    </x:row>
    <x:row r="23" ht="15" hidden="0" customHeight="1">
      <x:c r="A23" s="64" t="n">
        <x:v>19</x:v>
      </x:c>
      <x:c r="B23" s="64" t="str">
        <x:v>成都重庆九寨黄龙纯玩8D7N.pdf</x:v>
      </x:c>
      <x:c r="C23" s="64" t="str">
        <x:v>/Users/nxyccjx/Desktop/入境游素材/四川样板行程/成都重庆九寨黄龙纯玩8D7N.pdf</x:v>
      </x:c>
      <x:c r="D23" s="64" t="str">
        <x:v>PDF文字可提取</x:v>
      </x:c>
      <x:c r="E23" s="64" t="str">
        <x:v>2026-08-13</x:v>
      </x:c>
      <x:c r="F23" s="64" t="str">
        <x:v>Codex初审</x:v>
      </x:c>
      <x:c r="G23" s="64" t="str">
        <x:v>待人工复核</x:v>
      </x:c>
    </x:row>
    <x:row r="24" ht="15" hidden="0" customHeight="1">
      <x:c r="A24" s="64" t="n">
        <x:v>20</x:v>
      </x:c>
      <x:c r="B24" s="64" t="str">
        <x:v>卧龙熊猫苑四姑娘山毕棚沟3D2N2300rmb:人.pdf</x:v>
      </x:c>
      <x:c r="C24" s="64" t="str">
        <x:v>/Users/nxyccjx/Desktop/入境游素材/四川样板行程/卧龙熊猫苑四姑娘山毕棚沟3D2N2300rmb:人.pdf</x:v>
      </x:c>
      <x:c r="D24" s="64" t="str">
        <x:v>PDF文字可提取</x:v>
      </x:c>
      <x:c r="E24" s="64" t="str">
        <x:v>2026-08-13</x:v>
      </x:c>
      <x:c r="F24" s="64" t="str">
        <x:v>Codex初审</x:v>
      </x:c>
      <x:c r="G24" s="64" t="str">
        <x:v>待人工复核</x:v>
      </x:c>
    </x:row>
    <x:row r="25" ht="15" hidden="0" customHeight="1">
      <x:c r="A25" s="65" t="n">
        <x:v>21</x:v>
      </x:c>
      <x:c r="B25" s="65" t="str">
        <x:v>九寨沟黄龙高铁往返3D2N.pdf</x:v>
      </x:c>
      <x:c r="C25" s="65" t="str">
        <x:v>/Users/nxyccjx/Desktop/入境游素材/四川样板行程/九寨沟黄龙高铁往返3D2N.pdf</x:v>
      </x:c>
      <x:c r="D25" s="65" t="str">
        <x:v>PDF文字可提取</x:v>
      </x:c>
      <x:c r="E25" s="65" t="str">
        <x:v>2026-08-13</x:v>
      </x:c>
      <x:c r="F25" s="65" t="str">
        <x:v>Codex初审</x:v>
      </x:c>
      <x:c r="G25" s="65" t="str">
        <x:v>待人工复核</x:v>
      </x:c>
    </x:row>
  </x:sheetData>
  <x:mergeCells>
    <x:mergeCell ref="A1:G1"/>
    <x:mergeCell ref="A2:G2"/>
  </x:mergeCells>
  <x:dataValidations count="1">
    <x:dataValidation type="list" sqref="G5:G25">
      <x:formula1>"待人工复核,已确认,退回修改,不采用"</x:formula1>
    </x:dataValidation>
  </x:dataValidations>
  <x:pageMargins left="0.7" right="0.7" top="0.75" bottom="0.75" header="0.3" footer="0.3"/>
</x:worksheet>
</file>